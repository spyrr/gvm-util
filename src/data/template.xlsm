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pyrr/workspace/ibm/gvmtool2/gvmtool/src/data/"/>
    </mc:Choice>
  </mc:AlternateContent>
  <xr:revisionPtr revIDLastSave="0" documentId="13_ncr:1_{97EDCE99-4521-224F-9E8B-525A8EE72C00}" xr6:coauthVersionLast="47" xr6:coauthVersionMax="47" xr10:uidLastSave="{00000000-0000-0000-0000-000000000000}"/>
  <bookViews>
    <workbookView xWindow="3520" yWindow="3520" windowWidth="43300" windowHeight="12100" xr2:uid="{06421EB1-F068-F248-87BA-0715FBE76757}"/>
  </bookViews>
  <sheets>
    <sheet name="rawdata" sheetId="1" r:id="rId1"/>
    <sheet name="Viewer" sheetId="2" r:id="rId2"/>
  </sheets>
  <definedNames>
    <definedName name="_xlnm._FilterDatabase" localSheetId="0" hidden="1">rawdata!$A$2:$Z$2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1" l="1"/>
  <c r="K6" i="2"/>
  <c r="K5" i="2"/>
  <c r="K4" i="2"/>
  <c r="K3" i="2"/>
  <c r="K2" i="2"/>
  <c r="I6" i="2"/>
  <c r="I5" i="2"/>
  <c r="I4" i="2"/>
  <c r="I3" i="2"/>
  <c r="I2" i="2"/>
  <c r="E6" i="2"/>
  <c r="E5" i="2"/>
  <c r="E4" i="2"/>
  <c r="E3" i="2"/>
  <c r="E2" i="2"/>
  <c r="L6" i="2" l="1"/>
  <c r="L5" i="2"/>
  <c r="L4" i="2"/>
  <c r="L3" i="2"/>
  <c r="L2" i="2"/>
  <c r="J6" i="2"/>
  <c r="J5" i="2"/>
  <c r="J4" i="2"/>
  <c r="J3" i="2"/>
  <c r="J2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O1" i="2"/>
  <c r="D5" i="2"/>
  <c r="D4" i="2"/>
  <c r="F5" i="2"/>
  <c r="F6" i="2"/>
  <c r="F4" i="2"/>
  <c r="F3" i="2"/>
  <c r="F2" i="2"/>
  <c r="D3" i="2"/>
  <c r="D2" i="2"/>
  <c r="I27" i="2" l="1"/>
  <c r="W27" i="2" s="1"/>
  <c r="C27" i="2"/>
  <c r="T27" i="2" s="1"/>
  <c r="C24" i="2"/>
  <c r="Q24" i="2" s="1"/>
  <c r="C22" i="2"/>
  <c r="Q22" i="2" s="1"/>
  <c r="D20" i="2"/>
  <c r="AA20" i="2" s="1"/>
  <c r="D19" i="2"/>
  <c r="AA19" i="2" s="1"/>
  <c r="D18" i="2"/>
  <c r="AA18" i="2" s="1"/>
  <c r="D17" i="2"/>
  <c r="AA17" i="2" s="1"/>
  <c r="I14" i="2"/>
  <c r="W14" i="2" s="1"/>
  <c r="C14" i="2"/>
  <c r="T14" i="2" s="1"/>
  <c r="F13" i="2"/>
  <c r="I11" i="2"/>
  <c r="W11" i="2" s="1"/>
  <c r="C11" i="2"/>
  <c r="T11" i="2" s="1"/>
  <c r="C8" i="2"/>
  <c r="Q8" i="2" s="1"/>
  <c r="B1" i="2"/>
  <c r="Q1" i="2" s="1"/>
</calcChain>
</file>

<file path=xl/sharedStrings.xml><?xml version="1.0" encoding="utf-8"?>
<sst xmlns="http://schemas.openxmlformats.org/spreadsheetml/2006/main" count="94" uniqueCount="69">
  <si>
    <t>IP</t>
  </si>
  <si>
    <t>Hostname</t>
  </si>
  <si>
    <t>Port</t>
  </si>
  <si>
    <t>Port Protocol</t>
  </si>
  <si>
    <t>CVSS</t>
  </si>
  <si>
    <t>Severity</t>
  </si>
  <si>
    <t>Solution Type</t>
  </si>
  <si>
    <t>NVT Name</t>
  </si>
  <si>
    <t>Summary</t>
  </si>
  <si>
    <t>Specific Result</t>
  </si>
  <si>
    <t>NVT OID</t>
  </si>
  <si>
    <t>CVEs</t>
  </si>
  <si>
    <t>Task ID</t>
  </si>
  <si>
    <t>Task Name</t>
  </si>
  <si>
    <t>Timestamp</t>
  </si>
  <si>
    <t>Result ID</t>
  </si>
  <si>
    <t>Impact</t>
  </si>
  <si>
    <t>Solution</t>
  </si>
  <si>
    <t>Affected Software/OS</t>
  </si>
  <si>
    <t>Vulnerability Insight</t>
  </si>
  <si>
    <t>Vulnerability Detection Method</t>
  </si>
  <si>
    <t>Product Detection Result</t>
  </si>
  <si>
    <t>BIDs</t>
  </si>
  <si>
    <t>CERTs</t>
  </si>
  <si>
    <t>Other References</t>
  </si>
  <si>
    <t>Host</t>
    <phoneticPr fontId="10" type="noConversion"/>
  </si>
  <si>
    <t>Port</t>
    <phoneticPr fontId="10" type="noConversion"/>
  </si>
  <si>
    <t>Severity</t>
    <phoneticPr fontId="10" type="noConversion"/>
  </si>
  <si>
    <t>Title Align</t>
    <phoneticPr fontId="10" type="noConversion"/>
  </si>
  <si>
    <t>Summary</t>
    <phoneticPr fontId="10" type="noConversion"/>
  </si>
  <si>
    <t>Hostname</t>
    <phoneticPr fontId="10" type="noConversion"/>
  </si>
  <si>
    <t>Impact</t>
    <phoneticPr fontId="10" type="noConversion"/>
  </si>
  <si>
    <t>Affected Software / OS</t>
    <phoneticPr fontId="10" type="noConversion"/>
  </si>
  <si>
    <t>Solution</t>
    <phoneticPr fontId="10" type="noConversion"/>
  </si>
  <si>
    <t>Solution Type</t>
    <phoneticPr fontId="10" type="noConversion"/>
  </si>
  <si>
    <t>References</t>
    <phoneticPr fontId="10" type="noConversion"/>
  </si>
  <si>
    <t>Others</t>
    <phoneticPr fontId="10" type="noConversion"/>
  </si>
  <si>
    <t>Specific Result</t>
    <phoneticPr fontId="10" type="noConversion"/>
  </si>
  <si>
    <t>IDX</t>
    <phoneticPr fontId="2" type="noConversion"/>
  </si>
  <si>
    <t>OWNER</t>
    <phoneticPr fontId="2" type="noConversion"/>
  </si>
  <si>
    <t>Result</t>
    <phoneticPr fontId="2" type="noConversion"/>
  </si>
  <si>
    <t>Complete date</t>
    <phoneticPr fontId="2" type="noConversion"/>
  </si>
  <si>
    <t>OS Version</t>
    <phoneticPr fontId="2" type="noConversion"/>
  </si>
  <si>
    <t>CMDB Host</t>
    <phoneticPr fontId="2" type="noConversion"/>
  </si>
  <si>
    <t>Region</t>
    <phoneticPr fontId="2" type="noConversion"/>
  </si>
  <si>
    <t>Location</t>
    <phoneticPr fontId="2" type="noConversion"/>
  </si>
  <si>
    <t>CHANGE no</t>
    <phoneticPr fontId="2" type="noConversion"/>
  </si>
  <si>
    <t>IS Virtual</t>
    <phoneticPr fontId="2" type="noConversion"/>
  </si>
  <si>
    <t>IBM Infra Scope</t>
    <phoneticPr fontId="2" type="noConversion"/>
  </si>
  <si>
    <t>Target Date</t>
    <phoneticPr fontId="2" type="noConversion"/>
  </si>
  <si>
    <t>NVT Summary</t>
    <phoneticPr fontId="2" type="noConversion"/>
  </si>
  <si>
    <t>Action Plan</t>
    <phoneticPr fontId="2" type="noConversion"/>
  </si>
  <si>
    <t>Dependency</t>
    <phoneticPr fontId="2" type="noConversion"/>
  </si>
  <si>
    <t>Remark</t>
    <phoneticPr fontId="2" type="noConversion"/>
  </si>
  <si>
    <t>Note1</t>
  </si>
  <si>
    <t>Note2</t>
  </si>
  <si>
    <t>Note3</t>
  </si>
  <si>
    <t>Note4</t>
  </si>
  <si>
    <t>Note5</t>
  </si>
  <si>
    <t>Note6</t>
  </si>
  <si>
    <t>Note7</t>
  </si>
  <si>
    <t>Note8</t>
  </si>
  <si>
    <t>Note9</t>
  </si>
  <si>
    <t>Note10</t>
  </si>
  <si>
    <t>Note11</t>
  </si>
  <si>
    <t>Note12</t>
  </si>
  <si>
    <t>Note13</t>
  </si>
  <si>
    <t>Note14</t>
  </si>
  <si>
    <t>Note15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</si>
</sst>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14"/>
      <color theme="3"/>
      <name val="Calibri"/>
      <family val="3"/>
      <charset val="129"/>
      <scheme val="minor"/>
    </font>
    <font>
      <sz val="9"/>
      <color theme="1"/>
      <name val="Calibri"/>
      <family val="2"/>
      <charset val="129"/>
      <scheme val="minor"/>
    </font>
    <font>
      <sz val="9"/>
      <name val="Calibri"/>
      <family val="2"/>
      <charset val="129"/>
      <scheme val="minor"/>
    </font>
    <font>
      <b/>
      <sz val="14"/>
      <color theme="0"/>
      <name val="Calibri"/>
      <family val="3"/>
      <charset val="129"/>
      <scheme val="minor"/>
    </font>
    <font>
      <sz val="9"/>
      <color theme="0"/>
      <name val="Calibri"/>
      <family val="2"/>
      <charset val="129"/>
      <scheme val="minor"/>
    </font>
    <font>
      <sz val="9"/>
      <color theme="3"/>
      <name val="Calibri"/>
      <family val="3"/>
      <charset val="129"/>
      <scheme val="minor"/>
    </font>
    <font>
      <b/>
      <sz val="9"/>
      <color theme="3" tint="0.79998168889431442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9"/>
      <name val="Calibri"/>
      <family val="3"/>
      <charset val="129"/>
      <scheme val="minor"/>
    </font>
    <font>
      <sz val="9"/>
      <color theme="1"/>
      <name val="Calibri"/>
      <family val="3"/>
      <charset val="129"/>
      <scheme val="minor"/>
    </font>
    <font>
      <sz val="9"/>
      <color theme="0"/>
      <name val="Calibri"/>
      <family val="3"/>
      <charset val="129"/>
      <scheme val="minor"/>
    </font>
    <font>
      <b/>
      <sz val="9"/>
      <color theme="0"/>
      <name val="Calibri"/>
      <family val="3"/>
      <charset val="129"/>
      <scheme val="minor"/>
    </font>
    <font>
      <b/>
      <sz val="9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theme="0"/>
      <name val="Calibri"/>
      <family val="3"/>
      <charset val="129"/>
      <scheme val="minor"/>
    </font>
    <font>
      <b/>
      <sz val="9"/>
      <name val="Calibri (Body)"/>
    </font>
    <font>
      <b/>
      <sz val="10"/>
      <color theme="0"/>
      <name val="Calibri (Body)"/>
    </font>
    <font>
      <b/>
      <sz val="9"/>
      <color theme="0"/>
      <name val="Calibri (Body)"/>
    </font>
    <font>
      <b/>
      <sz val="9"/>
      <color theme="1"/>
      <name val="Calibri"/>
      <family val="3"/>
      <charset val="129"/>
      <scheme val="minor"/>
    </font>
    <font>
      <b/>
      <sz val="10"/>
      <color theme="3"/>
      <name val="Calibri"/>
      <family val="3"/>
      <charset val="129"/>
      <scheme val="minor"/>
    </font>
    <font>
      <b/>
      <sz val="10"/>
      <color theme="3"/>
      <name val="Calibri (Body)"/>
    </font>
    <font>
      <sz val="11"/>
      <color theme="1"/>
      <name val="Calibri"/>
      <family val="2"/>
    </font>
    <font>
      <b/>
      <sz val="11"/>
      <color theme="0" tint="-4.9989318521683403E-2"/>
      <name val="Calibri"/>
      <family val="2"/>
    </font>
    <font>
      <b/>
      <sz val="11"/>
      <name val="Calibri"/>
      <family val="2"/>
    </font>
    <font>
      <b/>
      <sz val="9"/>
      <name val="Calibri (Body)"/>
      <family val="2"/>
    </font>
    <font>
      <b/>
      <sz val="11"/>
      <color theme="1"/>
      <name val="Calibri"/>
      <family val="2"/>
    </font>
    <font>
      <b/>
      <sz val="9"/>
      <color theme="0"/>
      <name val="Calibri (Body)"/>
      <family val="2"/>
    </font>
    <font>
      <b/>
      <sz val="14"/>
      <color theme="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b/>
      <sz val="11"/>
      <color rgb="FF000000"/>
      <name val="맑은 고딕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8" fillId="8" borderId="6" xfId="0" applyFont="1" applyFill="1" applyBorder="1" applyAlignment="1">
      <alignment vertical="center"/>
    </xf>
    <xf numFmtId="0" fontId="28" fillId="8" borderId="6" xfId="0" applyFont="1" applyFill="1" applyBorder="1" applyAlignment="1">
      <alignment horizontal="center" vertical="center"/>
    </xf>
    <xf numFmtId="0" fontId="4" fillId="7" borderId="0" xfId="0" applyFont="1" applyFill="1" applyAlignment="1" applyProtection="1">
      <alignment vertical="center"/>
      <protection locked="0"/>
    </xf>
    <xf numFmtId="0" fontId="9" fillId="3" borderId="4" xfId="0" applyFont="1" applyFill="1" applyBorder="1" applyAlignment="1" applyProtection="1">
      <alignment horizontal="right" vertical="center"/>
      <protection locked="0"/>
    </xf>
    <xf numFmtId="0" fontId="11" fillId="2" borderId="4" xfId="0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vertical="top" wrapText="1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vertical="top"/>
      <protection locked="0"/>
    </xf>
    <xf numFmtId="0" fontId="0" fillId="7" borderId="0" xfId="0" applyFill="1" applyAlignment="1" applyProtection="1">
      <alignment vertical="center"/>
      <protection locked="0"/>
    </xf>
    <xf numFmtId="0" fontId="15" fillId="8" borderId="4" xfId="0" applyFont="1" applyFill="1" applyBorder="1" applyAlignment="1" applyProtection="1">
      <alignment horizontal="right" vertical="center"/>
      <protection locked="0"/>
    </xf>
    <xf numFmtId="0" fontId="5" fillId="2" borderId="4" xfId="0" applyFont="1" applyFill="1" applyBorder="1" applyAlignment="1" applyProtection="1">
      <alignment horizontal="left" vertical="center"/>
      <protection locked="0"/>
    </xf>
    <xf numFmtId="0" fontId="18" fillId="4" borderId="4" xfId="0" applyFont="1" applyFill="1" applyBorder="1" applyAlignment="1" applyProtection="1">
      <alignment horizontal="right" vertical="center" wrapText="1"/>
      <protection locked="0"/>
    </xf>
    <xf numFmtId="0" fontId="15" fillId="6" borderId="4" xfId="0" applyFont="1" applyFill="1" applyBorder="1" applyAlignment="1" applyProtection="1">
      <alignment horizontal="right" vertical="center"/>
      <protection locked="0"/>
    </xf>
    <xf numFmtId="0" fontId="15" fillId="2" borderId="4" xfId="0" applyNumberFormat="1" applyFont="1" applyFill="1" applyBorder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vertical="top"/>
      <protection locked="0"/>
    </xf>
    <xf numFmtId="0" fontId="13" fillId="2" borderId="0" xfId="0" applyFont="1" applyFill="1" applyAlignment="1" applyProtection="1">
      <alignment vertical="top" wrapText="1"/>
      <protection locked="0"/>
    </xf>
    <xf numFmtId="0" fontId="14" fillId="2" borderId="0" xfId="0" applyFont="1" applyFill="1" applyAlignment="1" applyProtection="1">
      <alignment horizontal="right" vertical="center" wrapText="1"/>
      <protection locked="0"/>
    </xf>
    <xf numFmtId="0" fontId="27" fillId="4" borderId="4" xfId="0" applyFont="1" applyFill="1" applyBorder="1" applyAlignment="1" applyProtection="1">
      <alignment horizontal="right" vertical="center" wrapText="1"/>
      <protection locked="0"/>
    </xf>
    <xf numFmtId="0" fontId="17" fillId="2" borderId="0" xfId="0" applyFont="1" applyFill="1" applyAlignment="1" applyProtection="1">
      <alignment vertical="center"/>
      <protection locked="0"/>
    </xf>
    <xf numFmtId="0" fontId="14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vertical="top"/>
      <protection locked="0"/>
    </xf>
    <xf numFmtId="0" fontId="17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29" fillId="5" borderId="4" xfId="0" applyFont="1" applyFill="1" applyBorder="1" applyAlignment="1" applyProtection="1">
      <alignment horizontal="right" vertical="center" wrapText="1"/>
      <protection locked="0"/>
    </xf>
    <xf numFmtId="0" fontId="11" fillId="2" borderId="4" xfId="0" applyFont="1" applyFill="1" applyBorder="1" applyAlignment="1" applyProtection="1">
      <alignment vertical="center"/>
      <protection locked="0"/>
    </xf>
    <xf numFmtId="14" fontId="5" fillId="2" borderId="4" xfId="0" applyNumberFormat="1" applyFont="1" applyFill="1" applyBorder="1" applyAlignment="1" applyProtection="1">
      <alignment horizontal="left" vertical="center"/>
      <protection locked="0"/>
    </xf>
    <xf numFmtId="0" fontId="27" fillId="6" borderId="4" xfId="0" applyFont="1" applyFill="1" applyBorder="1" applyAlignment="1" applyProtection="1">
      <alignment horizontal="right" vertical="center"/>
      <protection locked="0"/>
    </xf>
    <xf numFmtId="0" fontId="14" fillId="5" borderId="4" xfId="0" applyFont="1" applyFill="1" applyBorder="1" applyAlignment="1" applyProtection="1">
      <alignment horizontal="right" vertical="center"/>
      <protection locked="0"/>
    </xf>
    <xf numFmtId="14" fontId="15" fillId="2" borderId="4" xfId="0" applyNumberFormat="1" applyFont="1" applyFill="1" applyBorder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vertical="top" wrapText="1"/>
      <protection locked="0"/>
    </xf>
    <xf numFmtId="0" fontId="5" fillId="2" borderId="4" xfId="0" applyFont="1" applyFill="1" applyBorder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left" vertical="top" wrapText="1"/>
      <protection locked="0"/>
    </xf>
    <xf numFmtId="14" fontId="5" fillId="2" borderId="4" xfId="0" applyNumberFormat="1" applyFont="1" applyFill="1" applyBorder="1" applyAlignment="1" applyProtection="1">
      <alignment vertical="center"/>
      <protection locked="0"/>
    </xf>
    <xf numFmtId="0" fontId="19" fillId="2" borderId="0" xfId="0" applyFont="1" applyFill="1" applyAlignment="1" applyProtection="1">
      <alignment horizontal="left" vertical="top"/>
      <protection locked="0"/>
    </xf>
    <xf numFmtId="49" fontId="7" fillId="2" borderId="0" xfId="0" applyNumberFormat="1" applyFont="1" applyFill="1" applyAlignment="1" applyProtection="1">
      <alignment vertical="center" wrapText="1"/>
      <protection locked="0"/>
    </xf>
    <xf numFmtId="0" fontId="5" fillId="2" borderId="0" xfId="0" applyFont="1" applyFill="1" applyAlignment="1" applyProtection="1">
      <alignment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18" fillId="2" borderId="0" xfId="0" applyFont="1" applyFill="1" applyAlignment="1" applyProtection="1">
      <alignment horizontal="center" vertical="top" wrapText="1"/>
      <protection locked="0"/>
    </xf>
    <xf numFmtId="0" fontId="20" fillId="2" borderId="0" xfId="0" applyFont="1" applyFill="1" applyAlignment="1" applyProtection="1">
      <alignment horizontal="center" vertical="top"/>
      <protection locked="0"/>
    </xf>
    <xf numFmtId="0" fontId="20" fillId="2" borderId="0" xfId="0" applyFont="1" applyFill="1" applyAlignment="1" applyProtection="1">
      <alignment horizontal="center" vertical="top" wrapText="1"/>
      <protection locked="0"/>
    </xf>
    <xf numFmtId="0" fontId="5" fillId="6" borderId="4" xfId="0" applyNumberFormat="1" applyFont="1" applyFill="1" applyBorder="1" applyAlignment="1" applyProtection="1">
      <alignment horizontal="left" vertical="center"/>
      <protection locked="0"/>
    </xf>
    <xf numFmtId="0" fontId="20" fillId="2" borderId="0" xfId="0" applyFont="1" applyFill="1" applyAlignment="1" applyProtection="1">
      <alignment horizontal="left" vertical="top" wrapText="1"/>
      <protection locked="0"/>
    </xf>
    <xf numFmtId="0" fontId="20" fillId="2" borderId="0" xfId="0" applyFont="1" applyFill="1" applyAlignment="1" applyProtection="1">
      <alignment horizontal="left" vertical="top"/>
      <protection locked="0"/>
    </xf>
    <xf numFmtId="49" fontId="7" fillId="2" borderId="0" xfId="0" applyNumberFormat="1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21" fillId="7" borderId="0" xfId="0" applyFont="1" applyFill="1" applyAlignment="1" applyProtection="1">
      <alignment horizontal="center" vertical="center"/>
      <protection locked="0"/>
    </xf>
    <xf numFmtId="0" fontId="4" fillId="7" borderId="0" xfId="0" applyFont="1" applyFill="1" applyAlignment="1" applyProtection="1">
      <alignment vertical="center"/>
    </xf>
    <xf numFmtId="0" fontId="0" fillId="7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top"/>
    </xf>
    <xf numFmtId="0" fontId="9" fillId="3" borderId="4" xfId="0" applyFont="1" applyFill="1" applyBorder="1" applyAlignment="1" applyProtection="1">
      <alignment horizontal="right" vertical="center"/>
    </xf>
    <xf numFmtId="0" fontId="11" fillId="2" borderId="4" xfId="0" applyFont="1" applyFill="1" applyBorder="1" applyAlignment="1" applyProtection="1">
      <alignment horizontal="left" vertical="center"/>
    </xf>
    <xf numFmtId="0" fontId="15" fillId="8" borderId="4" xfId="0" applyFont="1" applyFill="1" applyBorder="1" applyAlignment="1" applyProtection="1">
      <alignment horizontal="right" vertical="center"/>
    </xf>
    <xf numFmtId="0" fontId="5" fillId="2" borderId="4" xfId="0" applyFont="1" applyFill="1" applyBorder="1" applyAlignment="1" applyProtection="1">
      <alignment horizontal="left" vertical="center"/>
    </xf>
    <xf numFmtId="0" fontId="18" fillId="4" borderId="4" xfId="0" applyFont="1" applyFill="1" applyBorder="1" applyAlignment="1" applyProtection="1">
      <alignment horizontal="right" vertical="center" wrapText="1"/>
    </xf>
    <xf numFmtId="0" fontId="15" fillId="6" borderId="4" xfId="0" applyFont="1" applyFill="1" applyBorder="1" applyAlignment="1" applyProtection="1">
      <alignment horizontal="right" vertical="center"/>
    </xf>
    <xf numFmtId="0" fontId="15" fillId="2" borderId="4" xfId="0" applyNumberFormat="1" applyFont="1" applyFill="1" applyBorder="1" applyAlignment="1" applyProtection="1">
      <alignment horizontal="left" vertical="center"/>
    </xf>
    <xf numFmtId="0" fontId="12" fillId="7" borderId="0" xfId="0" applyFont="1" applyFill="1" applyAlignment="1" applyProtection="1">
      <alignment vertical="center"/>
    </xf>
    <xf numFmtId="0" fontId="22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Alignment="1" applyProtection="1">
      <alignment vertical="top" wrapText="1"/>
    </xf>
    <xf numFmtId="0" fontId="16" fillId="2" borderId="5" xfId="0" applyFont="1" applyFill="1" applyBorder="1" applyAlignment="1" applyProtection="1">
      <alignment horizontal="left" vertical="center"/>
    </xf>
    <xf numFmtId="0" fontId="27" fillId="4" borderId="4" xfId="0" applyFont="1" applyFill="1" applyBorder="1" applyAlignment="1" applyProtection="1">
      <alignment horizontal="right" vertical="center" wrapText="1"/>
    </xf>
    <xf numFmtId="0" fontId="29" fillId="5" borderId="4" xfId="0" applyFont="1" applyFill="1" applyBorder="1" applyAlignment="1" applyProtection="1">
      <alignment horizontal="right" vertical="center" wrapText="1"/>
    </xf>
    <xf numFmtId="0" fontId="15" fillId="6" borderId="4" xfId="0" applyNumberFormat="1" applyFont="1" applyFill="1" applyBorder="1" applyAlignment="1" applyProtection="1">
      <alignment horizontal="left" vertical="center"/>
    </xf>
    <xf numFmtId="0" fontId="11" fillId="2" borderId="4" xfId="0" applyFont="1" applyFill="1" applyBorder="1" applyAlignment="1" applyProtection="1">
      <alignment vertical="center"/>
    </xf>
    <xf numFmtId="0" fontId="16" fillId="2" borderId="0" xfId="0" applyFont="1" applyFill="1" applyBorder="1" applyAlignment="1" applyProtection="1">
      <alignment horizontal="left" vertical="center"/>
    </xf>
    <xf numFmtId="14" fontId="5" fillId="2" borderId="4" xfId="0" applyNumberFormat="1" applyFont="1" applyFill="1" applyBorder="1" applyAlignment="1" applyProtection="1">
      <alignment horizontal="left" vertical="center"/>
    </xf>
    <xf numFmtId="0" fontId="27" fillId="6" borderId="4" xfId="0" applyFont="1" applyFill="1" applyBorder="1" applyAlignment="1" applyProtection="1">
      <alignment horizontal="right" vertical="center"/>
    </xf>
    <xf numFmtId="0" fontId="9" fillId="2" borderId="4" xfId="0" applyFont="1" applyFill="1" applyBorder="1" applyAlignment="1" applyProtection="1">
      <alignment horizontal="right" vertical="center"/>
    </xf>
    <xf numFmtId="14" fontId="15" fillId="2" borderId="4" xfId="0" applyNumberFormat="1" applyFont="1" applyFill="1" applyBorder="1" applyAlignment="1" applyProtection="1">
      <alignment horizontal="left" vertical="center"/>
    </xf>
    <xf numFmtId="0" fontId="4" fillId="2" borderId="4" xfId="0" applyFont="1" applyFill="1" applyBorder="1" applyAlignment="1" applyProtection="1">
      <alignment horizontal="left" vertical="center"/>
    </xf>
    <xf numFmtId="0" fontId="22" fillId="2" borderId="2" xfId="0" applyFont="1" applyFill="1" applyBorder="1" applyAlignment="1" applyProtection="1">
      <alignment vertical="center"/>
    </xf>
    <xf numFmtId="0" fontId="15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right" vertical="center"/>
    </xf>
    <xf numFmtId="0" fontId="4" fillId="2" borderId="0" xfId="0" applyFont="1" applyFill="1" applyAlignment="1" applyProtection="1">
      <alignment vertical="center"/>
    </xf>
    <xf numFmtId="0" fontId="4" fillId="2" borderId="2" xfId="0" applyFont="1" applyFill="1" applyBorder="1" applyAlignment="1" applyProtection="1">
      <alignment vertical="center"/>
    </xf>
    <xf numFmtId="0" fontId="18" fillId="2" borderId="2" xfId="0" applyFont="1" applyFill="1" applyBorder="1" applyAlignment="1" applyProtection="1">
      <alignment horizontal="center" vertical="top" wrapText="1"/>
    </xf>
    <xf numFmtId="0" fontId="23" fillId="2" borderId="2" xfId="0" applyFont="1" applyFill="1" applyBorder="1" applyAlignment="1" applyProtection="1">
      <alignment horizontal="left" vertical="top"/>
    </xf>
    <xf numFmtId="49" fontId="4" fillId="2" borderId="2" xfId="0" applyNumberFormat="1" applyFont="1" applyFill="1" applyBorder="1" applyAlignment="1" applyProtection="1">
      <alignment vertical="center"/>
    </xf>
    <xf numFmtId="0" fontId="9" fillId="3" borderId="2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top" wrapText="1"/>
    </xf>
    <xf numFmtId="0" fontId="5" fillId="7" borderId="0" xfId="0" applyFont="1" applyFill="1" applyAlignment="1" applyProtection="1">
      <alignment vertical="top" wrapText="1"/>
    </xf>
    <xf numFmtId="0" fontId="18" fillId="2" borderId="0" xfId="0" applyFont="1" applyFill="1" applyAlignment="1" applyProtection="1">
      <alignment horizontal="center" vertical="top" wrapText="1"/>
    </xf>
    <xf numFmtId="0" fontId="18" fillId="2" borderId="0" xfId="0" applyFont="1" applyFill="1" applyAlignment="1" applyProtection="1">
      <alignment horizontal="left" vertical="top"/>
    </xf>
    <xf numFmtId="0" fontId="5" fillId="7" borderId="0" xfId="0" applyFont="1" applyFill="1" applyAlignment="1" applyProtection="1">
      <alignment vertical="center"/>
    </xf>
    <xf numFmtId="0" fontId="18" fillId="2" borderId="0" xfId="0" applyFont="1" applyFill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left" vertical="center"/>
    </xf>
    <xf numFmtId="0" fontId="30" fillId="7" borderId="0" xfId="0" applyFont="1" applyFill="1" applyAlignment="1" applyProtection="1">
      <alignment wrapText="1"/>
      <protection locked="0"/>
    </xf>
    <xf numFmtId="0" fontId="24" fillId="4" borderId="6" xfId="0" applyFont="1" applyFill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top"/>
    </xf>
    <xf numFmtId="0" fontId="25" fillId="5" borderId="6" xfId="0" applyFont="1" applyFill="1" applyBorder="1" applyAlignment="1">
      <alignment horizontal="left" vertical="top"/>
    </xf>
    <xf numFmtId="0" fontId="26" fillId="6" borderId="6" xfId="0" applyFont="1" applyFill="1" applyBorder="1" applyAlignment="1">
      <alignment horizontal="center" vertical="top"/>
    </xf>
    <xf numFmtId="0" fontId="0" fillId="0" borderId="0" xfId="0" applyAlignment="1"/>
    <xf numFmtId="0" fontId="5" fillId="2" borderId="4" xfId="0" applyNumberFormat="1" applyFont="1" applyFill="1" applyBorder="1" applyAlignment="1" applyProtection="1">
      <alignment horizontal="left" vertical="center"/>
    </xf>
    <xf numFmtId="14" fontId="26" fillId="6" borderId="6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0" fontId="14" fillId="5" borderId="4" xfId="0" applyFont="1" applyFill="1" applyBorder="1" applyAlignment="1" applyProtection="1">
      <alignment horizontal="right" vertical="center" wrapText="1"/>
    </xf>
    <xf numFmtId="0" fontId="31" fillId="0" borderId="0" xfId="0" applyFont="1" applyAlignment="1"/>
    <xf numFmtId="0" fontId="3" fillId="2" borderId="0" xfId="0" applyFont="1" applyFill="1" applyAlignment="1" applyProtection="1">
      <alignment horizontal="left" vertical="top" wrapText="1"/>
    </xf>
    <xf numFmtId="0" fontId="6" fillId="2" borderId="0" xfId="0" applyFont="1" applyFill="1" applyAlignment="1" applyProtection="1">
      <alignment horizontal="left" vertical="top" wrapText="1"/>
      <protection locked="0"/>
    </xf>
    <xf numFmtId="0" fontId="5" fillId="2" borderId="3" xfId="0" applyFont="1" applyFill="1" applyBorder="1" applyAlignment="1" applyProtection="1">
      <alignment horizontal="left" vertical="top" wrapText="1"/>
    </xf>
    <xf numFmtId="0" fontId="5" fillId="2" borderId="0" xfId="0" applyFont="1" applyFill="1" applyAlignment="1" applyProtection="1">
      <alignment horizontal="left" vertical="top" wrapText="1"/>
    </xf>
    <xf numFmtId="0" fontId="7" fillId="2" borderId="0" xfId="0" applyFont="1" applyFill="1" applyAlignment="1" applyProtection="1">
      <alignment horizontal="left" vertical="top" wrapText="1"/>
      <protection locked="0"/>
    </xf>
    <xf numFmtId="0" fontId="5" fillId="2" borderId="2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25400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맑은 고딕" pitchFamily="2" charset="-127"/>
                  <a:ea typeface="맑은 고딕" pitchFamily="2" charset="-127"/>
                </a:rPr>
                <a:t>Viewer MODE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373"/>
  <sheetViews>
    <sheetView tabSelected="1" workbookViewId="0">
      <pane xSplit="26" ySplit="2" topLeftCell="AA3" activePane="bottomRight" state="frozen"/>
      <selection pane="topRight" activeCell="AA1" sqref="AA1"/>
      <selection pane="bottomLeft" activeCell="A3" sqref="A3"/>
      <selection pane="bottomRight" activeCell="I14" sqref="I14"/>
    </sheetView>
  </sheetViews>
  <sheetFormatPr baseColWidth="10" defaultColWidth="9" defaultRowHeight="15"/>
  <cols>
    <col min="1" max="1" width="5.83203125" style="97" customWidth="1"/>
    <col min="2" max="2" width="13.6640625" style="97" bestFit="1" customWidth="1"/>
    <col min="3" max="3" width="33.33203125" style="97" bestFit="1" customWidth="1"/>
    <col min="4" max="4" width="9.5" style="97" bestFit="1" customWidth="1"/>
    <col min="5" max="5" width="17.83203125" style="97" hidden="1" customWidth="1"/>
    <col min="6" max="6" width="10.1640625" style="97" hidden="1" customWidth="1"/>
    <col min="7" max="7" width="12.5" style="97" bestFit="1" customWidth="1"/>
    <col min="8" max="8" width="18.1640625" style="97" hidden="1" customWidth="1"/>
    <col min="9" max="9" width="17.83203125" style="97" customWidth="1"/>
    <col min="10" max="14" width="0" style="97" hidden="1" customWidth="1"/>
    <col min="15" max="15" width="15.33203125" style="97" hidden="1" customWidth="1"/>
    <col min="16" max="16" width="25.1640625" style="97" hidden="1" customWidth="1"/>
    <col min="17" max="17" width="38.6640625" style="97" hidden="1" customWidth="1"/>
    <col min="18" max="22" width="255.5" style="97" hidden="1" customWidth="1"/>
    <col min="23" max="23" width="124.1640625" style="97" hidden="1" customWidth="1"/>
    <col min="24" max="24" width="138.6640625" style="97" hidden="1" customWidth="1"/>
    <col min="25" max="26" width="255.5" style="97" hidden="1" customWidth="1"/>
    <col min="27" max="27" width="6.1640625" style="97" bestFit="1" customWidth="1"/>
    <col min="28" max="28" width="7.5" style="97" bestFit="1" customWidth="1"/>
    <col min="29" max="29" width="14.33203125" style="97" bestFit="1" customWidth="1"/>
    <col min="30" max="30" width="9.5" style="97" bestFit="1" customWidth="1"/>
    <col min="31" max="31" width="8" style="97" bestFit="1" customWidth="1"/>
    <col min="32" max="32" width="23.33203125" style="97" bestFit="1" customWidth="1"/>
    <col min="33" max="33" width="12.83203125" style="97" bestFit="1" customWidth="1"/>
    <col min="34" max="34" width="19" style="97" bestFit="1" customWidth="1"/>
    <col min="35" max="35" width="11" style="97" bestFit="1" customWidth="1"/>
    <col min="36" max="36" width="18.83203125" style="97" bestFit="1" customWidth="1"/>
    <col min="37" max="37" width="6.33203125" style="97" bestFit="1" customWidth="1"/>
    <col min="38" max="38" width="9.1640625" style="97" bestFit="1" customWidth="1"/>
    <col min="39" max="39" width="6" style="97" bestFit="1" customWidth="1"/>
    <col min="40" max="40" width="12.5" style="100" bestFit="1" customWidth="1"/>
    <col min="41" max="41" width="7" style="97" bestFit="1" customWidth="1"/>
    <col min="42" max="16384" width="9" style="97"/>
  </cols>
  <sheetData>
    <row r="1" spans="1:41">
      <c r="C1" s="102" t="str">
        <f>"High: "&amp;COUNTIF($G:$G, "High")&amp;" Medium: "&amp;COUNTIF($G:$G, "Medium")&amp;" Low: "&amp;COUNTIF($G:$G, "Low")</f>
        <v>High: 0 Medium: 0 Low: 0</v>
      </c>
    </row>
    <row r="2" spans="1:41">
      <c r="A2" s="1" t="s">
        <v>38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1" t="s">
        <v>21</v>
      </c>
      <c r="X2" s="1" t="s">
        <v>22</v>
      </c>
      <c r="Y2" s="1" t="s">
        <v>23</v>
      </c>
      <c r="Z2" s="1" t="s">
        <v>24</v>
      </c>
      <c r="AA2" s="2" t="s">
        <v>54</v>
      </c>
      <c r="AB2" s="2" t="s">
        <v>55</v>
      </c>
      <c r="AC2" s="2" t="s">
        <v>56</v>
      </c>
      <c r="AD2" s="3" t="s">
        <v>57</v>
      </c>
      <c r="AE2" s="3" t="s">
        <v>58</v>
      </c>
      <c r="AF2" s="93" t="s">
        <v>59</v>
      </c>
      <c r="AG2" s="93" t="s">
        <v>60</v>
      </c>
      <c r="AH2" s="94" t="s">
        <v>61</v>
      </c>
      <c r="AI2" s="94" t="s">
        <v>62</v>
      </c>
      <c r="AJ2" s="95" t="s">
        <v>63</v>
      </c>
      <c r="AK2" s="96" t="s">
        <v>64</v>
      </c>
      <c r="AL2" s="96" t="s">
        <v>65</v>
      </c>
      <c r="AM2" s="96" t="s">
        <v>66</v>
      </c>
      <c r="AN2" s="99" t="s">
        <v>67</v>
      </c>
      <c r="AO2" s="96" t="s">
        <v>68</v>
      </c>
    </row>
    <row r="3" spans="1:41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41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41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41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41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41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41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41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41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41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41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4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41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41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2:26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2:26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2:26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26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2:26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2:26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2:2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2:26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2:26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2:26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2:26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2:26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2:26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2:26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2:26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2:26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2:26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2:26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2:26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2:26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2:26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2:26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2:26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2:26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2:26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2:26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2:26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2:26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2:26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2:26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2:26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2:26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2:26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2:26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2:26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2:26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2:26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2:26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2:26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2:26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2:26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2:26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2:26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2:26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2:26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2:26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2:26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2:26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2:26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2:26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2:26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2:26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2:26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2:26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2:26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2:26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2:26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2:26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2:26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2:26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2:26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2:26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2:26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2:26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2:26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2:26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2:26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2:26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2:26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2:26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2:26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2:26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2:26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2:26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2:26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2:26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2:26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2:26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2:26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2:26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2:26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2:26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2:26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2:26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2:26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2:26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2:26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2:26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2:26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2:26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2:26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2:26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2:26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2:26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2:26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2:26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2:26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2:26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2:26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2:26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2:26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2:26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2:26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2:26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2:26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2:26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2:26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2:26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2:26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2:26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2:26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2:26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2:26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2:26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2:26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2:26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2:26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2:26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2:26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2:26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2:26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2:26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2:26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2:26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2:26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2:26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2:26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2:26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2:26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2:26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2:26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2:26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2:26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2:26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2:26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2:26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2:26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2:26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2:26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2:26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2:26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2:26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2:26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2:26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2:26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2:26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2:26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2:26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2:26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2:26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2:26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2:26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2:26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2:26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2:26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2:26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2:26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2:26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2:26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2:26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2:26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2:26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2:26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2:26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2:26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2:26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2:26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2:26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2:26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2:26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2:26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2:26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2:26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2:26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2:26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2:26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2:26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2:26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2:26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2:26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2:26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2:26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2:26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2:26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2:26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2:26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2:26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2:26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2:26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2:26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2:26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2:26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2:26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2:26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2:26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2:26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2:26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2:26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2:26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2:26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2:26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2:26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2:26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2:26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2:26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2:26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2:26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2:26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2:26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2:26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2:26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2:26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2:26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2:26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2:26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2:26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2:26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2:26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2:26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2:26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2:26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2:26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2:26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2:26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2:26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2:26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2:26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2:26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2:26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2:26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2:26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2:26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2:26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2:26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2:26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2:26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2:26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2:26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2:26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2:26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2:26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2:26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2:26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2:26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2:26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2:26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2:26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2:26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2:26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2:26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2:26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2:26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2:26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2:26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2:26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2:26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2:26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2:26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2:26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2:26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2:26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2:26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2:26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2:26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2:26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2:26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2:26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2:26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2:26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2:26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2:26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2:26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2:26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2:26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2:26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2:26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2:26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2:26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2:26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2:26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2:26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2:26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2:26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2:26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2:26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2:26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2:26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2:26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2:26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2:26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2:26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2:26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2:26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2:26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2:26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2:26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2:26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2:26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2:26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2:26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2:26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2:26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2:26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2:26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2:26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2:26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2:26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2:26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2:26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2:26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2:26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2:26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2:26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2:26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2:26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2:26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2:26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2:26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2:26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2:26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2:26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2:26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2:26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2:26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2:26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2:26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2:26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2:26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2:26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2:26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2:26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2:26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2:26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2:26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2:26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2:26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2:26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2:26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2:26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2:26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2:26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2:26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2:26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2:26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2:26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2:26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2:26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2:26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2:26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2:26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2:26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2:26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2:26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2:26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2:26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2:26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2:26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2:26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2:26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2:26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2:26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2:26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2:26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2:26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2:26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2:26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2:26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2:26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2:26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2:26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2:26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2:26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2:26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2:26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2:26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2:26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2:26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2:26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2:26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2:26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2:26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2:26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2:26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2:26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2:26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2:26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2:26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2:26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2:26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2:26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2:26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2:26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2:26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2:26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2:26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2:26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2:26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2:26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2:26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2:26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2:26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2:26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2:26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2:26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2:26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2:26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2:26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2:26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2:26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2:26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2:26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2:26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2:26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2:26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2:26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2:26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2:26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2:26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2:26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2:26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2:26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2:26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2:26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2:26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2:26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2:26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2:26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2:26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2:26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2:26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2:26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2:26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2:26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2:26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2:26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2:26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2:26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2:26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2:26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2:26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2:26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2:26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2:26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2:26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2:26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2:26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2:26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2:26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2:26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2:26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2:26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2:26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2:26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2:26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2:26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2:26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2:26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2:26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2:26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2:26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2:26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2:26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2:26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2:26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2:26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2:26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2:26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2:26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2:26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2:26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2:26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2:26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2:26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2:26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2:26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2:26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2:26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2:26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2:26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2:26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2:26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2:26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2:26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2:26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2:26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2:26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2:26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2:26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2:26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2:26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2:26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2:26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2:26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2:26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2:26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2:26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2:26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2:26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2:26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2:26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2:26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2:26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2:26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2:26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2:26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2:26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2:26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2:26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2:26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2:26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2:26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2:26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2:26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2:26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2:26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2:26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2:26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2:26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2:26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2:26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2:26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2:26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2:26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2:26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2:26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2:26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2:26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2:26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2:26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2:26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2:26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2:26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2:26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2:26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2:26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2:26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2:26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2:26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2:26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2:26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2:26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2:26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2:26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2:26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2:26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2:26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2:26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2:26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2:26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2:26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2:26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2:26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2:26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2:26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2:26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2:26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2:26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2:26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2:26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2:26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2:26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2:26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2:26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2:26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2:26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2:26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2:26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2:26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2:26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2:26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2:26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2:26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2:26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2:26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2:26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2:26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2:26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2:26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2:26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2:26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2:26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2:26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2:26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2:26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2:26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2:26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2:26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2:26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2:26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2:26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2:26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2:26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2:26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2:26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2:26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2:26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2:26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2:26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2:26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2:26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2:26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2:26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2:26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2:26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2:26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2:26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2:26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2:26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2:26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2:26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2:26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2:26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2:26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2:26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2:26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2:26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2:26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2:26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2:26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2:26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2:26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2:26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2:26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2:26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2:26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2:26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2:26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2:26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2:26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2:26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2:26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2:26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2:26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2:26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2:26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2:26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2:26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2:26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2:26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2:26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2:26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2:26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2:26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2:26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2:26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2:26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2:26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2:26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2:26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2:26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2:26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2:26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2:26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2:26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2:26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2:26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2:26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2:26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2:26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2:26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2:26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2:26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2:26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2:26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2:26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2:26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2:26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2:26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2:26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2:26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2:26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2:26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2:26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2:26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2:26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2:26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2:26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2:26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2:26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2:26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2:26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2:26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2:26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2:26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2:26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2:26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2:26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2:26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2:26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2:26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2:26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2:26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2:26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2:26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2:26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2:26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2:26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2:26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2:26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2:26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2:26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2:26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2:26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2:26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2:26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2:26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2:26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2:26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2:26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2:26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2:26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2:26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2:26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2:26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2:26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2:26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2:26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2:26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2:26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2:26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2:26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2:26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2:26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2:26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2:26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2:26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2:26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2:26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2:26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2:26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2:26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2:26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2:26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2:26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2:26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2:26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2:26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2:26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2:26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2:26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2:26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2:26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2:26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2:26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2:26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2:26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2:26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2:26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2:26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2:26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2:26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2:26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2:26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2:26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2:26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2:26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2:26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2:26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2:26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2:26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2:26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2:26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2:26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2:26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2:26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2:26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2:26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2:26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2:26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2:26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2:26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2:26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2:26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2:26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2:26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2:26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2:26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2:26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2:26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2:26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2:26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2:26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2:26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2:26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2:26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2:26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2:26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2:26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2:26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2:26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2:26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2:26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2:26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2:26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2:26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2:26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2:26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2:26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2:26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2:26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2:26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2:26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2:26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2:26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2:26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2:26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2:26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2:26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2:26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2:26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2:26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2:26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2:26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2:26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2:26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2:26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2:26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2:26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2:26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2:26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2:26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2:26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2:26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2:26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2:26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2:26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2:26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2:26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2:26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2:26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2:26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2:26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2:26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2:26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2:26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2:26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2:26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2:26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2:26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2:26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2:26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2:26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2:26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2:26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2:26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2:26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2:26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2:26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2:26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2:26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2:26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2:26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2:26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2:26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2:26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2:26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2:26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2:26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2:26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2:26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2:26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2:26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2:26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2:26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2:26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2:26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2:26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2:26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2:26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2:26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2:26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2:26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2:26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2:26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2:26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2:26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2:26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2:26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2:26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2:26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2:26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2:26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2:26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2:26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2:26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2:26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2:26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2:26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2:26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2:26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2:26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2:26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2:26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2:26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2:26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2:26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2:26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2:26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2:26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2:26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2:26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2:26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2:26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2:26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2:26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2:26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2:26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2:26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2:26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2:26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2:26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2:26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2:26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2:26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2:26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2:26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2:26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2:26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2:26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2:26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2:26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2:26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2:26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2:26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2:26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2:26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2:26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2:26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2:26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2:26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2:26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2:26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2:26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2:26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2:26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2:26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2:26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2:26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2:26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2:26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2:26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2:26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2:26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2:26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2:26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2:26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2:26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2:26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2:26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2:26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2:26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2:26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2:26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2:26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2:26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2:26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2:26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2:26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2:26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2:26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2:26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2:26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2:26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2:26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2:26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2:26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2:26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2:26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2:26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2:26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2:26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2:26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2:26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2:26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2:26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2:26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2:26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2:26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2:26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2:26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2:26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2:26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2:26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2:26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2:26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2:26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2:26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2:26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2:26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2:26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2:26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2:26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2:26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2:26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2:26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2:26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2:26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2:26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2:26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2:26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2:26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2:26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2:26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2:26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2:26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2:26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2:26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2:26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2:26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2:26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2:26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2:26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2:26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2:26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2:26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2:26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2:26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2:26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2:26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2:26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2:26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2:26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2:26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2:26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2:26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2:26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2:26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2:26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2:26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2:26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2:26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2:26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2:26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2:26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2:26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2:26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2:26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2:26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2:26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2:26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2:26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2:26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2:26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2:26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2:26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2:26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2:26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2:26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2:26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2:26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2:26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2:26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2:26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2:26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2:26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2:26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2:26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2:26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2:26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2:26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2:26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2:26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2:26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2:26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2:26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2:26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2:26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2:26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2:26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2:26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2:26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2:26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2:26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2:26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2:26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2:26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2:26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2:26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2:26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2:26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2:26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2:26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2:26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2:26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2:26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2:26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2:26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2:26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2:26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2:26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2:26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2:26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2:26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2:26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2:26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2:26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2:26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2:26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2:26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2:26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2:26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2:26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2:26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2:26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2:26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2:26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2:26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2:26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2:26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2:26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2:26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2:26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2:26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2:26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2:26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2:26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2:26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2:26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2:26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2:26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2:26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2:26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2:26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2:26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2:26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2:26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2:26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2:26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2:26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2:26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2:26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2:26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2:26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2:26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2:26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2:26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2:26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2:26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2:26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2:26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2:26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2:26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2:26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2:26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2:26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2:26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2:26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2:26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2:26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2:26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2:26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2:26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2:26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2:26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2:26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2:26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2:26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2:26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2:26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2:26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2:26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2:26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2:26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2:26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2:26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2:26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2:26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2:26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2:26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2:26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2:26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2:26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2:26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2:26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2:26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2:26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2:26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2:26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2:26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2:26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2:26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2:26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2:26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2:26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2:26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2:26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2:26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2:26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2:26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2:26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2:26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2:26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2:26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2:26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2:26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2:26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2:26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2:26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2:26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2:26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2:26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2:26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2:26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2:26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2:26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2:26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2:26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2:26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2:26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2:26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2:26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2:26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2:26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2:26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2:26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2:26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2:26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2:26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2:26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2:26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2:26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2:26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2:26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2:26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2:26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2:26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2:26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2:26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2:26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2:26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2:26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2:26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2:26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2:26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2:26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2:26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2:26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2:26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2:26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2:26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2:26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2:26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2:26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2:26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2:26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2:26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2:26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2:26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2:26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2:26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2:26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2:26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2:26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2:26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2:26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2:26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2:26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2:26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2:26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2:26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2:26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2:26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2:26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2:26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2:26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2:26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2:26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2:26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2:26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2:26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2:26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2:26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2:26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2:26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2:26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2:26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2:26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2:26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2:26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2:26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2:26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2:26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2:26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2:26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2:26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2:26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2:26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2:26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2:26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2:26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2:26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2:26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2:26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2:26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2:26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2:26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2:26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2:26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2:26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2:26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2:26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2:26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2:26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2:26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2:26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2:26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2:26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2:26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2:26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2:26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2:26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2:26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2:26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2:26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2:26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2:26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2:26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2:26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2:26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2:26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2:26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2:26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2:26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2:26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2:26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2:26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2:26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2:26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2:26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2:26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</sheetData>
  <autoFilter ref="A2:Z2" xr:uid="{E33FF3C7-615E-4187-8C13-9182389B6BF2}"/>
  <sortState xmlns:xlrd2="http://schemas.microsoft.com/office/spreadsheetml/2017/richdata2" ref="A3:I1078">
    <sortCondition descending="1" ref="F3:F1078"/>
    <sortCondition ref="B3:B1078"/>
    <sortCondition ref="D3:D1078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ewer_mode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25400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EE97D-A2D8-483D-B129-5EC582BA19B8}">
  <sheetPr codeName="Sheet2"/>
  <dimension ref="A1:AC521"/>
  <sheetViews>
    <sheetView workbookViewId="0"/>
  </sheetViews>
  <sheetFormatPr baseColWidth="10" defaultColWidth="8.6640625" defaultRowHeight="12"/>
  <cols>
    <col min="1" max="1" width="4.5" style="49" bestFit="1" customWidth="1"/>
    <col min="2" max="2" width="2" style="7" customWidth="1"/>
    <col min="3" max="3" width="8.6640625" style="7"/>
    <col min="4" max="4" width="27.5" style="7" customWidth="1"/>
    <col min="5" max="5" width="11.33203125" style="7" bestFit="1" customWidth="1"/>
    <col min="6" max="6" width="25" style="7" customWidth="1"/>
    <col min="7" max="8" width="2" style="7" customWidth="1"/>
    <col min="9" max="9" width="11.83203125" style="7" bestFit="1" customWidth="1"/>
    <col min="10" max="10" width="26" style="7" customWidth="1"/>
    <col min="11" max="11" width="12.83203125" style="7" bestFit="1" customWidth="1"/>
    <col min="12" max="12" width="35" style="7" customWidth="1"/>
    <col min="13" max="13" width="2" style="4" customWidth="1"/>
    <col min="14" max="14" width="11.6640625" style="7" hidden="1" customWidth="1"/>
    <col min="15" max="15" width="30.83203125" style="7" hidden="1" customWidth="1"/>
    <col min="16" max="16" width="1.6640625" style="7" customWidth="1"/>
    <col min="17" max="17" width="152.83203125" style="9" customWidth="1"/>
    <col min="18" max="18" width="1.1640625" style="9" customWidth="1"/>
    <col min="19" max="19" width="2" style="9" customWidth="1"/>
    <col min="20" max="20" width="72.5" style="32" customWidth="1"/>
    <col min="21" max="22" width="2" style="9" customWidth="1"/>
    <col min="23" max="23" width="74.1640625" style="32" customWidth="1"/>
    <col min="24" max="24" width="1" style="9" customWidth="1"/>
    <col min="25" max="25" width="2" style="9" customWidth="1"/>
    <col min="26" max="26" width="8.6640625" style="9"/>
    <col min="27" max="27" width="142.1640625" style="9" customWidth="1"/>
    <col min="28" max="29" width="8.6640625" style="9"/>
    <col min="30" max="16384" width="8.6640625" style="7"/>
  </cols>
  <sheetData>
    <row r="1" spans="1:27" ht="19">
      <c r="A1" s="92"/>
      <c r="B1" s="103" t="e">
        <f>VLOOKUP($A$1,rawdata!$A:$Z,9,FALSE)</f>
        <v>#N/A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50"/>
      <c r="N1" s="5" t="s">
        <v>25</v>
      </c>
      <c r="O1" s="6" t="e">
        <f>VLOOKUP($A$1,rawdata!$A:$Z,2,FALSE)</f>
        <v>#N/A</v>
      </c>
      <c r="Q1" s="8" t="e">
        <f>B1</f>
        <v>#N/A</v>
      </c>
      <c r="S1" s="10"/>
      <c r="T1" s="8"/>
      <c r="U1" s="10"/>
      <c r="V1" s="10"/>
      <c r="W1" s="8"/>
      <c r="Y1" s="104"/>
      <c r="Z1" s="104"/>
      <c r="AA1" s="104"/>
    </row>
    <row r="2" spans="1:27" ht="15">
      <c r="A2" s="51"/>
      <c r="B2" s="52"/>
      <c r="C2" s="53" t="s">
        <v>25</v>
      </c>
      <c r="D2" s="54" t="e">
        <f>VLOOKUP($A$1,rawdata!$A:$Z,2,FALSE)</f>
        <v>#N/A</v>
      </c>
      <c r="E2" s="55" t="str">
        <f>rawdata!AA2</f>
        <v>Note1</v>
      </c>
      <c r="F2" s="56" t="e">
        <f>VLOOKUP($A$1,rawdata!$A:$AO,27,FALSE)</f>
        <v>#N/A</v>
      </c>
      <c r="G2" s="52"/>
      <c r="H2" s="52"/>
      <c r="I2" s="57" t="str">
        <f>rawdata!AF2</f>
        <v>Note6</v>
      </c>
      <c r="J2" s="56" t="e">
        <f>VLOOKUP($A$1,rawdata!$A:$AO,32,FALSE)</f>
        <v>#N/A</v>
      </c>
      <c r="K2" s="58" t="str">
        <f>rawdata!AK2</f>
        <v>Note11</v>
      </c>
      <c r="L2" s="59" t="e">
        <f>VLOOKUP($A$1,rawdata!$A:$AO,37,FALSE)</f>
        <v>#N/A</v>
      </c>
      <c r="M2" s="60"/>
      <c r="N2" s="5" t="s">
        <v>30</v>
      </c>
      <c r="O2" s="13" t="e">
        <f>VLOOKUP($A$1,rawdata!$A:$Z,3,FALSE)</f>
        <v>#N/A</v>
      </c>
      <c r="Q2" s="17" t="s">
        <v>28</v>
      </c>
      <c r="S2" s="17"/>
      <c r="T2" s="18"/>
      <c r="U2" s="17"/>
      <c r="V2" s="17"/>
      <c r="W2" s="19"/>
      <c r="Y2" s="17"/>
      <c r="Z2" s="17"/>
      <c r="AA2" s="17"/>
    </row>
    <row r="3" spans="1:27" ht="15">
      <c r="A3" s="51"/>
      <c r="B3" s="61"/>
      <c r="C3" s="53" t="s">
        <v>30</v>
      </c>
      <c r="D3" s="56" t="e">
        <f>VLOOKUP($A$1,rawdata!$A:$Z,3,FALSE)</f>
        <v>#N/A</v>
      </c>
      <c r="E3" s="55" t="str">
        <f>rawdata!AB2</f>
        <v>Note2</v>
      </c>
      <c r="F3" s="56" t="e">
        <f>VLOOKUP($A$1,rawdata!$A:$AO,28,FALSE)</f>
        <v>#N/A</v>
      </c>
      <c r="G3" s="62"/>
      <c r="H3" s="63"/>
      <c r="I3" s="64" t="str">
        <f>rawdata!AG2</f>
        <v>Note7</v>
      </c>
      <c r="J3" s="56" t="e">
        <f>VLOOKUP($A$1,rawdata!$A:$AO,33,FALSE)</f>
        <v>#N/A</v>
      </c>
      <c r="K3" s="58" t="str">
        <f>rawdata!AL2</f>
        <v>Note12</v>
      </c>
      <c r="L3" s="59" t="e">
        <f>VLOOKUP($A$1,rawdata!$A:$AO,38,FALSE)</f>
        <v>#N/A</v>
      </c>
      <c r="M3" s="50"/>
      <c r="N3" s="5" t="s">
        <v>26</v>
      </c>
      <c r="O3" s="6" t="e">
        <f>VLOOKUP($A$1,rawdata!$A:$Z,4,FALSE) &amp; "/" &amp;VLOOKUP($A$1,rawdata!$A:$Z,5,FALSE)</f>
        <v>#N/A</v>
      </c>
      <c r="Q3" s="21" t="s">
        <v>29</v>
      </c>
      <c r="T3" s="22"/>
      <c r="U3" s="23"/>
      <c r="V3" s="24"/>
      <c r="W3" s="19"/>
      <c r="Y3" s="21"/>
      <c r="Z3" s="25"/>
    </row>
    <row r="4" spans="1:27" ht="15">
      <c r="A4" s="51"/>
      <c r="B4" s="61"/>
      <c r="C4" s="53" t="s">
        <v>26</v>
      </c>
      <c r="D4" s="54" t="e">
        <f>VLOOKUP($A$1,rawdata!$A:$Z,4,FALSE) &amp; "/" &amp;VLOOKUP($A$1,rawdata!$A:$Z,5,FALSE)</f>
        <v>#N/A</v>
      </c>
      <c r="E4" s="55" t="str">
        <f>rawdata!AC2</f>
        <v>Note3</v>
      </c>
      <c r="F4" s="56" t="e">
        <f>VLOOKUP($A$1,rawdata!$A:$AO,29,FALSE)</f>
        <v>#N/A</v>
      </c>
      <c r="G4" s="62"/>
      <c r="H4" s="63"/>
      <c r="I4" s="65" t="str">
        <f>rawdata!AH2</f>
        <v>Note8</v>
      </c>
      <c r="J4" s="56" t="e">
        <f>VLOOKUP($A$1,rawdata!$A:$AO,34,FALSE)</f>
        <v>#N/A</v>
      </c>
      <c r="K4" s="58" t="str">
        <f>rawdata!AM2</f>
        <v>Note13</v>
      </c>
      <c r="L4" s="66" t="e">
        <f>VLOOKUP($A$1,rawdata!$A:$AO,39,FALSE)</f>
        <v>#N/A</v>
      </c>
      <c r="M4" s="50"/>
      <c r="N4" s="5" t="s">
        <v>27</v>
      </c>
      <c r="O4" s="27" t="e">
        <f>VLOOKUP($A$1,rawdata!$A:$Z,7,FALSE) &amp; " (" &amp; VLOOKUP($A$1,rawdata!$A:$Z,6,FALSE) &amp; ")"</f>
        <v>#N/A</v>
      </c>
      <c r="Q4" s="21"/>
      <c r="T4" s="22"/>
      <c r="U4" s="23"/>
      <c r="V4" s="24"/>
      <c r="W4" s="19"/>
      <c r="Y4" s="21"/>
      <c r="Z4" s="25"/>
    </row>
    <row r="5" spans="1:27" ht="15">
      <c r="A5" s="51"/>
      <c r="B5" s="61"/>
      <c r="C5" s="53" t="s">
        <v>27</v>
      </c>
      <c r="D5" s="67" t="e">
        <f>VLOOKUP($A$1,rawdata!$A:$Z,7,FALSE) &amp; " (" &amp; VLOOKUP($A$1,rawdata!$A:$Z,6,FALSE) &amp; ")"</f>
        <v>#N/A</v>
      </c>
      <c r="E5" s="55" t="str">
        <f>rawdata!AD2</f>
        <v>Note4</v>
      </c>
      <c r="F5" s="56" t="e">
        <f>VLOOKUP($A$1,rawdata!$A:$AO,30,FALSE)</f>
        <v>#N/A</v>
      </c>
      <c r="G5" s="62"/>
      <c r="H5" s="68"/>
      <c r="I5" s="65" t="str">
        <f>rawdata!AI2</f>
        <v>Note9</v>
      </c>
      <c r="J5" s="98" t="e">
        <f>VLOOKUP($A$1,rawdata!$A:$AO,35,FALSE)</f>
        <v>#N/A</v>
      </c>
      <c r="K5" s="70" t="str">
        <f>rawdata!AN2</f>
        <v>Note14</v>
      </c>
      <c r="L5" s="69" t="e">
        <f>VLOOKUP($A$1,rawdata!$A:$AO,40,FALSE)</f>
        <v>#N/A</v>
      </c>
      <c r="M5" s="50"/>
      <c r="N5" s="12" t="s">
        <v>44</v>
      </c>
      <c r="O5" s="13" t="e">
        <f>VLOOKUP($A$1,rawdata!$A:$AO,27,FALSE)</f>
        <v>#N/A</v>
      </c>
      <c r="Q5" s="21"/>
      <c r="T5" s="22"/>
      <c r="U5" s="23"/>
      <c r="V5" s="24"/>
      <c r="W5" s="19"/>
      <c r="Y5" s="21"/>
      <c r="Z5" s="25"/>
    </row>
    <row r="6" spans="1:27" ht="15">
      <c r="A6" s="51"/>
      <c r="B6" s="61"/>
      <c r="C6" s="71"/>
      <c r="D6" s="67"/>
      <c r="E6" s="55" t="str">
        <f>rawdata!AE2</f>
        <v>Note5</v>
      </c>
      <c r="F6" s="56" t="e">
        <f>VLOOKUP($A$1,rawdata!$A:$AO,31,FALSE)</f>
        <v>#N/A</v>
      </c>
      <c r="G6" s="62"/>
      <c r="H6" s="68"/>
      <c r="I6" s="101" t="str">
        <f>rawdata!AJ2</f>
        <v>Note10</v>
      </c>
      <c r="J6" s="72" t="e">
        <f>VLOOKUP($A$1,rawdata!$A:$AO,36,FALSE)</f>
        <v>#N/A</v>
      </c>
      <c r="K6" s="58" t="str">
        <f>rawdata!AO2</f>
        <v>Note15</v>
      </c>
      <c r="L6" s="73" t="e">
        <f>VLOOKUP($A$1,rawdata!$A:$AO,41,FALSE)</f>
        <v>#N/A</v>
      </c>
      <c r="M6" s="50"/>
      <c r="N6" s="12" t="s">
        <v>45</v>
      </c>
      <c r="O6" s="13" t="e">
        <f>VLOOKUP($A$1,rawdata!$A:$AO,28,FALSE)</f>
        <v>#N/A</v>
      </c>
      <c r="Q6" s="21"/>
      <c r="T6" s="22"/>
      <c r="U6" s="23"/>
      <c r="V6" s="24"/>
      <c r="W6" s="19"/>
      <c r="Y6" s="21"/>
      <c r="Z6" s="25"/>
    </row>
    <row r="7" spans="1:27" ht="15">
      <c r="A7" s="51"/>
      <c r="B7" s="74" t="s">
        <v>29</v>
      </c>
      <c r="C7" s="75"/>
      <c r="D7" s="76"/>
      <c r="E7" s="62"/>
      <c r="F7" s="62"/>
      <c r="G7" s="62"/>
      <c r="H7" s="68"/>
      <c r="I7" s="77"/>
      <c r="J7" s="108"/>
      <c r="K7" s="108"/>
      <c r="L7" s="108"/>
      <c r="M7" s="50"/>
      <c r="N7" s="12" t="s">
        <v>43</v>
      </c>
      <c r="O7" s="13" t="e">
        <f>VLOOKUP($A$1,rawdata!$A:$AO,29,FALSE)</f>
        <v>#N/A</v>
      </c>
      <c r="Q7" s="21"/>
      <c r="T7" s="22"/>
      <c r="U7" s="23"/>
      <c r="V7" s="24"/>
      <c r="W7" s="19"/>
      <c r="Y7" s="21"/>
      <c r="Z7" s="25"/>
    </row>
    <row r="8" spans="1:27" ht="15">
      <c r="A8" s="51"/>
      <c r="B8" s="78"/>
      <c r="C8" s="105" t="e">
        <f>SUBSTITUTE(VLOOKUP($A$1,rawdata!$A:$Z,10,FALSE),CHAR(10)&amp;CHAR(10),CHAR(10))</f>
        <v>#N/A</v>
      </c>
      <c r="D8" s="105"/>
      <c r="E8" s="105"/>
      <c r="F8" s="105"/>
      <c r="G8" s="105"/>
      <c r="H8" s="105"/>
      <c r="I8" s="106"/>
      <c r="J8" s="106"/>
      <c r="K8" s="106"/>
      <c r="L8" s="106"/>
      <c r="M8" s="50"/>
      <c r="N8" s="12" t="s">
        <v>42</v>
      </c>
      <c r="O8" s="13" t="e">
        <f>VLOOKUP($A$1,rawdata!$A:$AO,30,FALSE)</f>
        <v>#N/A</v>
      </c>
      <c r="Q8" s="32" t="e">
        <f>C8</f>
        <v>#N/A</v>
      </c>
      <c r="T8" s="33"/>
      <c r="U8" s="23"/>
      <c r="V8" s="23"/>
      <c r="W8" s="33"/>
      <c r="Z8" s="107"/>
      <c r="AA8" s="107"/>
    </row>
    <row r="9" spans="1:27" ht="15">
      <c r="A9" s="51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50"/>
      <c r="N9" s="12" t="s">
        <v>47</v>
      </c>
      <c r="O9" s="13" t="e">
        <f>VLOOKUP($A$1,rawdata!$A:$AO,31,FALSE)</f>
        <v>#N/A</v>
      </c>
    </row>
    <row r="10" spans="1:27" ht="15">
      <c r="A10" s="51"/>
      <c r="B10" s="74" t="s">
        <v>31</v>
      </c>
      <c r="C10" s="79"/>
      <c r="D10" s="79"/>
      <c r="E10" s="80"/>
      <c r="F10" s="79"/>
      <c r="G10" s="78"/>
      <c r="H10" s="81" t="s">
        <v>19</v>
      </c>
      <c r="I10" s="82"/>
      <c r="J10" s="79"/>
      <c r="K10" s="79"/>
      <c r="L10" s="79"/>
      <c r="M10" s="50"/>
      <c r="N10" s="14" t="s">
        <v>50</v>
      </c>
      <c r="O10" s="34" t="e">
        <f>VLOOKUP($A$1,rawdata!$A:$AO,32,FALSE)</f>
        <v>#N/A</v>
      </c>
      <c r="Q10" s="21"/>
      <c r="S10" s="21" t="s">
        <v>31</v>
      </c>
      <c r="V10" s="21" t="s">
        <v>32</v>
      </c>
      <c r="Y10" s="21"/>
    </row>
    <row r="11" spans="1:27" ht="15">
      <c r="A11" s="51"/>
      <c r="B11" s="78"/>
      <c r="C11" s="105" t="e">
        <f>SUBSTITUTE(VLOOKUP($A$1,rawdata!$A:$Z,18,FALSE),CHAR(10)&amp;CHAR(10),CHAR(10))</f>
        <v>#N/A</v>
      </c>
      <c r="D11" s="105"/>
      <c r="E11" s="105"/>
      <c r="F11" s="105"/>
      <c r="G11" s="78"/>
      <c r="H11" s="78"/>
      <c r="I11" s="106" t="e">
        <f>SUBSTITUTE(VLOOKUP($A$1,rawdata!$A:$Z,21,FALSE), CHAR(10)&amp;CHAR(10), CHAR(10))</f>
        <v>#N/A</v>
      </c>
      <c r="J11" s="106"/>
      <c r="K11" s="106"/>
      <c r="L11" s="106"/>
      <c r="M11" s="50"/>
      <c r="N11" s="20" t="s">
        <v>48</v>
      </c>
      <c r="O11" s="34" t="e">
        <f>VLOOKUP($A$1,rawdata!$A:$AO,33,FALSE)</f>
        <v>#N/A</v>
      </c>
      <c r="T11" s="33" t="e">
        <f>C11</f>
        <v>#N/A</v>
      </c>
      <c r="W11" s="35" t="e">
        <f>I11</f>
        <v>#N/A</v>
      </c>
      <c r="Z11" s="107"/>
      <c r="AA11" s="107"/>
    </row>
    <row r="12" spans="1:27" ht="15">
      <c r="A12" s="51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50"/>
      <c r="N12" s="26" t="s">
        <v>51</v>
      </c>
      <c r="O12" s="34" t="e">
        <f>VLOOKUP($A$1,rawdata!$A:$AO,34,FALSE)</f>
        <v>#N/A</v>
      </c>
    </row>
    <row r="13" spans="1:27" ht="15">
      <c r="A13" s="51"/>
      <c r="B13" s="74" t="s">
        <v>33</v>
      </c>
      <c r="C13" s="79"/>
      <c r="D13" s="79"/>
      <c r="E13" s="83" t="s">
        <v>34</v>
      </c>
      <c r="F13" s="84" t="e">
        <f>VLOOKUP($A$1,rawdata!$A:$Z,8,FALSE)</f>
        <v>#N/A</v>
      </c>
      <c r="G13" s="78"/>
      <c r="H13" s="74" t="s">
        <v>32</v>
      </c>
      <c r="I13" s="79"/>
      <c r="J13" s="79"/>
      <c r="K13" s="79"/>
      <c r="L13" s="79"/>
      <c r="M13" s="50"/>
      <c r="N13" s="26" t="s">
        <v>52</v>
      </c>
      <c r="O13" s="36" t="e">
        <f>VLOOKUP($A$1,rawdata!$A:$AO,35,FALSE)</f>
        <v>#N/A</v>
      </c>
      <c r="Q13" s="21"/>
      <c r="S13" s="21" t="s">
        <v>33</v>
      </c>
      <c r="V13" s="37" t="s">
        <v>19</v>
      </c>
      <c r="W13" s="38"/>
      <c r="Y13" s="21"/>
    </row>
    <row r="14" spans="1:27" ht="15">
      <c r="A14" s="51"/>
      <c r="B14" s="78"/>
      <c r="C14" s="105" t="e">
        <f>SUBSTITUTE(VLOOKUP($A$1,rawdata!$A:$Z,19,FALSE),CHAR(10)&amp;CHAR(10),CHAR(10))</f>
        <v>#N/A</v>
      </c>
      <c r="D14" s="105"/>
      <c r="E14" s="105"/>
      <c r="F14" s="105"/>
      <c r="G14" s="85"/>
      <c r="H14" s="78"/>
      <c r="I14" s="105" t="e">
        <f>SUBSTITUTE(VLOOKUP($A$1,rawdata!$A:$Z,20,FALSE), CHAR(10)&amp;CHAR(10), CHAR(10))</f>
        <v>#N/A</v>
      </c>
      <c r="J14" s="105"/>
      <c r="K14" s="105"/>
      <c r="L14" s="105"/>
      <c r="M14" s="86"/>
      <c r="N14" s="30" t="s">
        <v>49</v>
      </c>
      <c r="O14" s="31" t="e">
        <f>VLOOKUP($A$1,rawdata!$A:$AO,36,FALSE)</f>
        <v>#N/A</v>
      </c>
      <c r="P14" s="39"/>
      <c r="T14" s="33" t="e">
        <f>C14</f>
        <v>#N/A</v>
      </c>
      <c r="U14" s="40"/>
      <c r="W14" s="35" t="e">
        <f>I14</f>
        <v>#N/A</v>
      </c>
      <c r="Z14" s="107"/>
      <c r="AA14" s="107"/>
    </row>
    <row r="15" spans="1:27" ht="15">
      <c r="A15" s="51"/>
      <c r="B15" s="78"/>
      <c r="C15" s="78"/>
      <c r="D15" s="78"/>
      <c r="E15" s="87"/>
      <c r="F15" s="87"/>
      <c r="G15" s="87"/>
      <c r="H15" s="87"/>
      <c r="I15" s="87"/>
      <c r="J15" s="87"/>
      <c r="K15" s="87"/>
      <c r="L15" s="87"/>
      <c r="M15" s="50"/>
      <c r="N15" s="15" t="s">
        <v>39</v>
      </c>
      <c r="O15" s="16" t="e">
        <f>VLOOKUP($A$1,rawdata!$A:$AO,37,FALSE)</f>
        <v>#N/A</v>
      </c>
      <c r="U15" s="42"/>
      <c r="V15" s="42"/>
      <c r="W15" s="43"/>
    </row>
    <row r="16" spans="1:27" ht="15">
      <c r="A16" s="51"/>
      <c r="B16" s="74" t="s">
        <v>35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50"/>
      <c r="N16" s="15" t="s">
        <v>46</v>
      </c>
      <c r="O16" s="16" t="e">
        <f>VLOOKUP($A$1,rawdata!$A:$AO,38,FALSE)</f>
        <v>#N/A</v>
      </c>
      <c r="Q16" s="21"/>
      <c r="S16" s="21"/>
      <c r="Y16" s="21" t="s">
        <v>35</v>
      </c>
    </row>
    <row r="17" spans="1:27" ht="15">
      <c r="A17" s="51"/>
      <c r="B17" s="78"/>
      <c r="C17" s="88" t="s">
        <v>22</v>
      </c>
      <c r="D17" s="105" t="e">
        <f>VLOOKUP($A$1,rawdata!$A:$Z,24,FALSE)</f>
        <v>#N/A</v>
      </c>
      <c r="E17" s="105"/>
      <c r="F17" s="105"/>
      <c r="G17" s="105"/>
      <c r="H17" s="105"/>
      <c r="I17" s="105"/>
      <c r="J17" s="105"/>
      <c r="K17" s="105"/>
      <c r="L17" s="105"/>
      <c r="M17" s="89"/>
      <c r="N17" s="15" t="s">
        <v>40</v>
      </c>
      <c r="O17" s="44" t="e">
        <f>VLOOKUP($A$1,rawdata!$A:$AO,39,FALSE)</f>
        <v>#N/A</v>
      </c>
      <c r="T17" s="45"/>
      <c r="U17" s="23"/>
      <c r="V17" s="23"/>
      <c r="W17" s="33"/>
      <c r="Z17" s="46" t="s">
        <v>22</v>
      </c>
      <c r="AA17" s="33" t="e">
        <f>D17</f>
        <v>#N/A</v>
      </c>
    </row>
    <row r="18" spans="1:27" ht="15">
      <c r="A18" s="51"/>
      <c r="B18" s="78"/>
      <c r="C18" s="88" t="s">
        <v>23</v>
      </c>
      <c r="D18" s="106" t="e">
        <f>VLOOKUP($A$1,rawdata!$A:$Z,25,FALSE)</f>
        <v>#N/A</v>
      </c>
      <c r="E18" s="106"/>
      <c r="F18" s="106"/>
      <c r="G18" s="106"/>
      <c r="H18" s="106"/>
      <c r="I18" s="106"/>
      <c r="J18" s="106"/>
      <c r="K18" s="106"/>
      <c r="L18" s="106"/>
      <c r="M18" s="50"/>
      <c r="N18" s="29" t="s">
        <v>41</v>
      </c>
      <c r="O18" s="28" t="e">
        <f>VLOOKUP($A$1,rawdata!$A:$AO,40,FALSE)</f>
        <v>#N/A</v>
      </c>
      <c r="T18" s="45"/>
      <c r="U18" s="23"/>
      <c r="V18" s="23"/>
      <c r="W18" s="33"/>
      <c r="Z18" s="46" t="s">
        <v>23</v>
      </c>
      <c r="AA18" s="33" t="e">
        <f>D18</f>
        <v>#N/A</v>
      </c>
    </row>
    <row r="19" spans="1:27" ht="15">
      <c r="A19" s="51"/>
      <c r="B19" s="78"/>
      <c r="C19" s="88" t="s">
        <v>11</v>
      </c>
      <c r="D19" s="106" t="e">
        <f>VLOOKUP($A$1,rawdata!$A:$Z,13,FALSE)</f>
        <v>#N/A</v>
      </c>
      <c r="E19" s="106"/>
      <c r="F19" s="106"/>
      <c r="G19" s="106"/>
      <c r="H19" s="106"/>
      <c r="I19" s="106"/>
      <c r="J19" s="106"/>
      <c r="K19" s="106"/>
      <c r="L19" s="106"/>
      <c r="M19" s="50"/>
      <c r="N19" s="15" t="s">
        <v>53</v>
      </c>
      <c r="O19" s="7" t="e">
        <f>VLOOKUP($A$1,rawdata!$A:$AO,41,FALSE)</f>
        <v>#N/A</v>
      </c>
      <c r="T19" s="45"/>
      <c r="U19" s="23"/>
      <c r="V19" s="23"/>
      <c r="W19" s="33"/>
      <c r="Z19" s="46" t="s">
        <v>11</v>
      </c>
      <c r="AA19" s="33" t="e">
        <f>D19</f>
        <v>#N/A</v>
      </c>
    </row>
    <row r="20" spans="1:27" ht="15">
      <c r="A20" s="51"/>
      <c r="B20" s="78"/>
      <c r="C20" s="90" t="s">
        <v>10</v>
      </c>
      <c r="D20" s="106" t="e">
        <f>VLOOKUP($A$1,rawdata!$A:$Z,12,FALSE)</f>
        <v>#N/A</v>
      </c>
      <c r="E20" s="106"/>
      <c r="F20" s="106"/>
      <c r="G20" s="106"/>
      <c r="H20" s="106"/>
      <c r="I20" s="106"/>
      <c r="J20" s="106"/>
      <c r="K20" s="106"/>
      <c r="L20" s="106"/>
      <c r="M20" s="50"/>
      <c r="T20" s="45"/>
      <c r="U20" s="23"/>
      <c r="V20" s="23"/>
      <c r="W20" s="33"/>
      <c r="Z20" s="45" t="s">
        <v>10</v>
      </c>
      <c r="AA20" s="33" t="e">
        <f>D20</f>
        <v>#N/A</v>
      </c>
    </row>
    <row r="21" spans="1:27" ht="15">
      <c r="A21" s="51"/>
      <c r="B21" s="78"/>
      <c r="C21" s="88" t="s">
        <v>21</v>
      </c>
      <c r="D21" s="78"/>
      <c r="E21" s="78"/>
      <c r="F21" s="78"/>
      <c r="G21" s="78"/>
      <c r="H21" s="78"/>
      <c r="I21" s="78"/>
      <c r="J21" s="78"/>
      <c r="K21" s="78"/>
      <c r="L21" s="78"/>
      <c r="M21" s="50"/>
      <c r="Q21" s="46" t="s">
        <v>21</v>
      </c>
      <c r="T21" s="45"/>
      <c r="Z21" s="46"/>
    </row>
    <row r="22" spans="1:27" ht="15">
      <c r="A22" s="51"/>
      <c r="B22" s="78"/>
      <c r="C22" s="106" t="e">
        <f>VLOOKUP($A$1,rawdata!$A:$Z,23,FALSE)</f>
        <v>#N/A</v>
      </c>
      <c r="D22" s="106"/>
      <c r="E22" s="106"/>
      <c r="F22" s="106"/>
      <c r="G22" s="106"/>
      <c r="H22" s="106"/>
      <c r="I22" s="106"/>
      <c r="J22" s="106"/>
      <c r="K22" s="106"/>
      <c r="L22" s="106"/>
      <c r="M22" s="50"/>
      <c r="Q22" s="33" t="e">
        <f>C22</f>
        <v>#N/A</v>
      </c>
      <c r="T22" s="33"/>
      <c r="U22" s="23"/>
      <c r="V22" s="23"/>
      <c r="W22" s="33"/>
      <c r="Z22" s="33"/>
      <c r="AA22" s="33"/>
    </row>
    <row r="23" spans="1:27" ht="15">
      <c r="A23" s="51"/>
      <c r="B23" s="78"/>
      <c r="C23" s="88" t="s">
        <v>36</v>
      </c>
      <c r="D23" s="78"/>
      <c r="E23" s="78"/>
      <c r="F23" s="78"/>
      <c r="G23" s="78"/>
      <c r="H23" s="78"/>
      <c r="I23" s="78"/>
      <c r="J23" s="78"/>
      <c r="K23" s="78"/>
      <c r="L23" s="78"/>
      <c r="M23" s="50"/>
      <c r="Q23" s="46" t="s">
        <v>36</v>
      </c>
      <c r="T23" s="45"/>
      <c r="Z23" s="46"/>
    </row>
    <row r="24" spans="1:27" ht="15">
      <c r="A24" s="51"/>
      <c r="B24" s="78"/>
      <c r="C24" s="106" t="e">
        <f>SUBSTITUTE(VLOOKUP($A$1,rawdata!$A:$Z,26,FALSE), ", ", CHAR(10))</f>
        <v>#N/A</v>
      </c>
      <c r="D24" s="106"/>
      <c r="E24" s="106"/>
      <c r="F24" s="106"/>
      <c r="G24" s="106"/>
      <c r="H24" s="106"/>
      <c r="I24" s="106"/>
      <c r="J24" s="106"/>
      <c r="K24" s="106"/>
      <c r="L24" s="106"/>
      <c r="M24" s="50"/>
      <c r="Q24" s="33" t="e">
        <f>C24</f>
        <v>#N/A</v>
      </c>
      <c r="T24" s="33"/>
      <c r="U24" s="23"/>
      <c r="V24" s="23"/>
      <c r="W24" s="33"/>
      <c r="Z24" s="33"/>
      <c r="AA24" s="33"/>
    </row>
    <row r="25" spans="1:27" ht="15">
      <c r="A25" s="51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50"/>
    </row>
    <row r="26" spans="1:27" ht="15">
      <c r="A26" s="51"/>
      <c r="B26" s="74" t="s">
        <v>37</v>
      </c>
      <c r="C26" s="82"/>
      <c r="D26" s="79"/>
      <c r="E26" s="79"/>
      <c r="F26" s="79"/>
      <c r="G26" s="78"/>
      <c r="H26" s="81" t="s">
        <v>20</v>
      </c>
      <c r="I26" s="79"/>
      <c r="J26" s="79"/>
      <c r="K26" s="79"/>
      <c r="L26" s="79"/>
      <c r="M26" s="50"/>
      <c r="Q26" s="21"/>
      <c r="S26" s="21" t="s">
        <v>37</v>
      </c>
      <c r="T26" s="38"/>
      <c r="V26" s="37" t="s">
        <v>20</v>
      </c>
      <c r="Y26" s="21"/>
      <c r="Z26" s="47"/>
    </row>
    <row r="27" spans="1:27" ht="15">
      <c r="A27" s="51"/>
      <c r="B27" s="78"/>
      <c r="C27" s="105" t="e">
        <f>SUBSTITUTE(VLOOKUP($A$1,rawdata!$A:$Z,11,FALSE), CHAR(10)&amp;CHAR(10), CHAR(10))</f>
        <v>#N/A</v>
      </c>
      <c r="D27" s="105"/>
      <c r="E27" s="105"/>
      <c r="F27" s="105"/>
      <c r="G27" s="85"/>
      <c r="H27" s="91"/>
      <c r="I27" s="106" t="e">
        <f>TRIM(VLOOKUP($A$1,rawdata!$A:$Z,22,FALSE))</f>
        <v>#N/A</v>
      </c>
      <c r="J27" s="106"/>
      <c r="K27" s="106"/>
      <c r="L27" s="106"/>
      <c r="M27" s="50"/>
      <c r="T27" s="33" t="e">
        <f>C27</f>
        <v>#N/A</v>
      </c>
      <c r="U27" s="40"/>
      <c r="V27" s="48"/>
      <c r="W27" s="35" t="e">
        <f>I27</f>
        <v>#N/A</v>
      </c>
      <c r="Z27" s="107"/>
      <c r="AA27" s="107"/>
    </row>
    <row r="28" spans="1:27" ht="15">
      <c r="A28" s="11"/>
      <c r="I28" s="41"/>
      <c r="J28" s="41"/>
      <c r="K28" s="41"/>
      <c r="L28" s="41"/>
      <c r="W28" s="43"/>
    </row>
    <row r="29" spans="1:27" ht="15">
      <c r="A29" s="11"/>
    </row>
    <row r="30" spans="1:27" ht="15">
      <c r="A30" s="11"/>
    </row>
    <row r="31" spans="1:27" ht="15">
      <c r="A31" s="11"/>
    </row>
    <row r="32" spans="1:27" ht="15">
      <c r="A32" s="11"/>
    </row>
    <row r="33" spans="1:1" ht="15">
      <c r="A33" s="11"/>
    </row>
    <row r="34" spans="1:1" ht="15">
      <c r="A34" s="11"/>
    </row>
    <row r="35" spans="1:1" ht="15">
      <c r="A35" s="11"/>
    </row>
    <row r="36" spans="1:1" ht="15">
      <c r="A36" s="11"/>
    </row>
    <row r="37" spans="1:1" ht="15">
      <c r="A37" s="11"/>
    </row>
    <row r="38" spans="1:1" ht="15">
      <c r="A38" s="11"/>
    </row>
    <row r="39" spans="1:1" ht="15">
      <c r="A39" s="11"/>
    </row>
    <row r="40" spans="1:1" ht="15">
      <c r="A40" s="11"/>
    </row>
    <row r="41" spans="1:1" ht="15">
      <c r="A41" s="11"/>
    </row>
    <row r="42" spans="1:1" ht="15">
      <c r="A42" s="11"/>
    </row>
    <row r="43" spans="1:1" ht="15">
      <c r="A43" s="11"/>
    </row>
    <row r="44" spans="1:1" ht="15">
      <c r="A44" s="11"/>
    </row>
    <row r="45" spans="1:1" ht="15">
      <c r="A45" s="11"/>
    </row>
    <row r="46" spans="1:1" ht="15">
      <c r="A46" s="11"/>
    </row>
    <row r="47" spans="1:1" ht="15">
      <c r="A47" s="11"/>
    </row>
    <row r="48" spans="1:1" ht="15">
      <c r="A48" s="11"/>
    </row>
    <row r="49" spans="1:1" ht="15">
      <c r="A49" s="11"/>
    </row>
    <row r="50" spans="1:1" ht="15">
      <c r="A50" s="11"/>
    </row>
    <row r="51" spans="1:1" ht="15">
      <c r="A51" s="11"/>
    </row>
    <row r="52" spans="1:1" ht="15">
      <c r="A52" s="11"/>
    </row>
    <row r="53" spans="1:1" ht="15">
      <c r="A53" s="11"/>
    </row>
    <row r="54" spans="1:1" ht="15">
      <c r="A54" s="11"/>
    </row>
    <row r="55" spans="1:1" ht="15">
      <c r="A55" s="11"/>
    </row>
    <row r="56" spans="1:1" ht="15">
      <c r="A56" s="11"/>
    </row>
    <row r="57" spans="1:1" ht="15">
      <c r="A57" s="11"/>
    </row>
    <row r="58" spans="1:1" ht="15">
      <c r="A58" s="11"/>
    </row>
    <row r="59" spans="1:1" ht="15">
      <c r="A59" s="11"/>
    </row>
    <row r="60" spans="1:1" ht="15">
      <c r="A60" s="11"/>
    </row>
    <row r="61" spans="1:1" ht="15">
      <c r="A61" s="11"/>
    </row>
    <row r="62" spans="1:1" ht="15">
      <c r="A62" s="11"/>
    </row>
    <row r="63" spans="1:1" ht="15">
      <c r="A63" s="11"/>
    </row>
    <row r="64" spans="1:1" ht="15">
      <c r="A64" s="11"/>
    </row>
    <row r="65" spans="1:1" ht="15">
      <c r="A65" s="11"/>
    </row>
    <row r="66" spans="1:1" ht="15">
      <c r="A66" s="11"/>
    </row>
    <row r="67" spans="1:1" ht="15">
      <c r="A67" s="11"/>
    </row>
    <row r="68" spans="1:1" ht="15">
      <c r="A68" s="11"/>
    </row>
    <row r="69" spans="1:1" ht="15">
      <c r="A69" s="11"/>
    </row>
    <row r="70" spans="1:1" ht="15">
      <c r="A70" s="11"/>
    </row>
    <row r="71" spans="1:1" ht="15">
      <c r="A71" s="11"/>
    </row>
    <row r="72" spans="1:1" ht="15">
      <c r="A72" s="11"/>
    </row>
    <row r="73" spans="1:1" ht="15">
      <c r="A73" s="11"/>
    </row>
    <row r="74" spans="1:1" ht="15">
      <c r="A74" s="11"/>
    </row>
    <row r="75" spans="1:1" ht="15">
      <c r="A75" s="11"/>
    </row>
    <row r="76" spans="1:1" ht="15">
      <c r="A76" s="11"/>
    </row>
    <row r="77" spans="1:1" ht="15">
      <c r="A77" s="11"/>
    </row>
    <row r="78" spans="1:1" ht="15">
      <c r="A78" s="11"/>
    </row>
    <row r="79" spans="1:1" ht="15">
      <c r="A79" s="11"/>
    </row>
    <row r="80" spans="1:1" ht="15">
      <c r="A80" s="11"/>
    </row>
    <row r="81" spans="1:1" ht="15">
      <c r="A81" s="11"/>
    </row>
    <row r="82" spans="1:1" ht="15">
      <c r="A82" s="11"/>
    </row>
    <row r="83" spans="1:1" ht="15">
      <c r="A83" s="11"/>
    </row>
    <row r="84" spans="1:1" ht="15">
      <c r="A84" s="11"/>
    </row>
    <row r="85" spans="1:1" ht="15">
      <c r="A85" s="11"/>
    </row>
    <row r="86" spans="1:1" ht="15">
      <c r="A86" s="11"/>
    </row>
    <row r="87" spans="1:1" ht="15">
      <c r="A87" s="11"/>
    </row>
    <row r="88" spans="1:1" ht="15">
      <c r="A88" s="11"/>
    </row>
    <row r="89" spans="1:1" ht="15">
      <c r="A89" s="11"/>
    </row>
    <row r="90" spans="1:1" ht="15">
      <c r="A90" s="11"/>
    </row>
    <row r="91" spans="1:1" ht="15">
      <c r="A91" s="11"/>
    </row>
    <row r="92" spans="1:1" ht="15">
      <c r="A92" s="11"/>
    </row>
    <row r="93" spans="1:1" ht="15">
      <c r="A93" s="11"/>
    </row>
    <row r="94" spans="1:1" ht="15">
      <c r="A94" s="11"/>
    </row>
    <row r="95" spans="1:1" ht="15">
      <c r="A95" s="11"/>
    </row>
    <row r="96" spans="1:1" ht="15">
      <c r="A96" s="11"/>
    </row>
    <row r="97" spans="1:1" ht="15">
      <c r="A97" s="11"/>
    </row>
    <row r="98" spans="1:1" ht="15">
      <c r="A98" s="11"/>
    </row>
    <row r="99" spans="1:1" ht="15">
      <c r="A99" s="11"/>
    </row>
    <row r="100" spans="1:1" ht="15">
      <c r="A100" s="11"/>
    </row>
    <row r="101" spans="1:1" ht="15">
      <c r="A101" s="11"/>
    </row>
    <row r="102" spans="1:1" ht="15">
      <c r="A102" s="11"/>
    </row>
    <row r="103" spans="1:1" ht="15">
      <c r="A103" s="11"/>
    </row>
    <row r="104" spans="1:1" ht="15">
      <c r="A104" s="11"/>
    </row>
    <row r="105" spans="1:1" ht="15">
      <c r="A105" s="11"/>
    </row>
    <row r="106" spans="1:1" ht="15">
      <c r="A106" s="11"/>
    </row>
    <row r="107" spans="1:1" ht="15">
      <c r="A107" s="11"/>
    </row>
    <row r="108" spans="1:1" ht="15">
      <c r="A108" s="11"/>
    </row>
    <row r="109" spans="1:1" ht="15">
      <c r="A109" s="11"/>
    </row>
    <row r="110" spans="1:1" ht="15">
      <c r="A110" s="11"/>
    </row>
    <row r="111" spans="1:1" ht="15">
      <c r="A111" s="11"/>
    </row>
    <row r="112" spans="1:1" ht="15">
      <c r="A112" s="11"/>
    </row>
    <row r="113" spans="1:1" ht="15">
      <c r="A113" s="11"/>
    </row>
    <row r="114" spans="1:1" ht="15">
      <c r="A114" s="11"/>
    </row>
    <row r="115" spans="1:1" ht="15">
      <c r="A115" s="11"/>
    </row>
    <row r="116" spans="1:1" ht="15">
      <c r="A116" s="11"/>
    </row>
    <row r="117" spans="1:1" ht="15">
      <c r="A117" s="11"/>
    </row>
    <row r="118" spans="1:1" ht="15">
      <c r="A118" s="11"/>
    </row>
    <row r="119" spans="1:1" ht="15">
      <c r="A119" s="11"/>
    </row>
    <row r="120" spans="1:1" ht="15">
      <c r="A120" s="11"/>
    </row>
    <row r="121" spans="1:1" ht="15">
      <c r="A121" s="11"/>
    </row>
    <row r="122" spans="1:1" ht="15">
      <c r="A122" s="11"/>
    </row>
    <row r="123" spans="1:1" ht="15">
      <c r="A123" s="11"/>
    </row>
    <row r="124" spans="1:1" ht="15">
      <c r="A124" s="11"/>
    </row>
    <row r="125" spans="1:1" ht="15">
      <c r="A125" s="11"/>
    </row>
    <row r="126" spans="1:1" ht="15">
      <c r="A126" s="11"/>
    </row>
    <row r="127" spans="1:1" ht="15">
      <c r="A127" s="11"/>
    </row>
    <row r="128" spans="1:1" ht="15">
      <c r="A128" s="11"/>
    </row>
    <row r="129" spans="1:1" ht="15">
      <c r="A129" s="11"/>
    </row>
    <row r="130" spans="1:1" ht="15">
      <c r="A130" s="11"/>
    </row>
    <row r="131" spans="1:1" ht="15">
      <c r="A131" s="11"/>
    </row>
    <row r="132" spans="1:1" ht="15">
      <c r="A132" s="11"/>
    </row>
    <row r="133" spans="1:1" ht="15">
      <c r="A133" s="11"/>
    </row>
    <row r="134" spans="1:1" ht="15">
      <c r="A134" s="11"/>
    </row>
    <row r="135" spans="1:1" ht="15">
      <c r="A135" s="11"/>
    </row>
    <row r="136" spans="1:1" ht="15">
      <c r="A136" s="11"/>
    </row>
    <row r="137" spans="1:1" ht="15">
      <c r="A137" s="11"/>
    </row>
    <row r="138" spans="1:1" ht="15">
      <c r="A138" s="11"/>
    </row>
    <row r="139" spans="1:1" ht="15">
      <c r="A139" s="11"/>
    </row>
    <row r="140" spans="1:1" ht="15">
      <c r="A140" s="11"/>
    </row>
    <row r="141" spans="1:1" ht="15">
      <c r="A141" s="11"/>
    </row>
    <row r="142" spans="1:1" ht="15">
      <c r="A142" s="11"/>
    </row>
    <row r="143" spans="1:1" ht="15">
      <c r="A143" s="11"/>
    </row>
    <row r="144" spans="1:1" ht="15">
      <c r="A144" s="11"/>
    </row>
    <row r="145" spans="1:1" ht="15">
      <c r="A145" s="11"/>
    </row>
    <row r="146" spans="1:1" ht="15">
      <c r="A146" s="11"/>
    </row>
    <row r="147" spans="1:1" ht="15">
      <c r="A147" s="11"/>
    </row>
    <row r="148" spans="1:1" ht="15">
      <c r="A148" s="11"/>
    </row>
    <row r="149" spans="1:1" ht="15">
      <c r="A149" s="11"/>
    </row>
    <row r="150" spans="1:1" ht="15">
      <c r="A150" s="11"/>
    </row>
    <row r="151" spans="1:1" ht="15">
      <c r="A151" s="11"/>
    </row>
    <row r="152" spans="1:1" ht="15">
      <c r="A152" s="11"/>
    </row>
    <row r="153" spans="1:1" ht="15">
      <c r="A153" s="11"/>
    </row>
    <row r="154" spans="1:1" ht="15">
      <c r="A154" s="11"/>
    </row>
    <row r="155" spans="1:1" ht="15">
      <c r="A155" s="11"/>
    </row>
    <row r="156" spans="1:1" ht="15">
      <c r="A156" s="11"/>
    </row>
    <row r="157" spans="1:1" ht="15">
      <c r="A157" s="11"/>
    </row>
    <row r="158" spans="1:1" ht="15">
      <c r="A158" s="11"/>
    </row>
    <row r="159" spans="1:1" ht="15">
      <c r="A159" s="11"/>
    </row>
    <row r="160" spans="1:1" ht="15">
      <c r="A160" s="11"/>
    </row>
    <row r="161" spans="1:1" ht="15">
      <c r="A161" s="11"/>
    </row>
    <row r="162" spans="1:1" ht="15">
      <c r="A162" s="11"/>
    </row>
    <row r="163" spans="1:1" ht="15">
      <c r="A163" s="11"/>
    </row>
    <row r="164" spans="1:1" ht="15">
      <c r="A164" s="11"/>
    </row>
    <row r="165" spans="1:1" ht="15">
      <c r="A165" s="11"/>
    </row>
    <row r="166" spans="1:1" ht="15">
      <c r="A166" s="11"/>
    </row>
    <row r="167" spans="1:1" ht="15">
      <c r="A167" s="11"/>
    </row>
    <row r="168" spans="1:1" ht="15">
      <c r="A168" s="11"/>
    </row>
    <row r="169" spans="1:1" ht="15">
      <c r="A169" s="11"/>
    </row>
    <row r="170" spans="1:1" ht="15">
      <c r="A170" s="11"/>
    </row>
    <row r="171" spans="1:1" ht="15">
      <c r="A171" s="11"/>
    </row>
    <row r="172" spans="1:1" ht="15">
      <c r="A172" s="11"/>
    </row>
    <row r="173" spans="1:1" ht="15">
      <c r="A173" s="11"/>
    </row>
    <row r="174" spans="1:1" ht="15">
      <c r="A174" s="11"/>
    </row>
    <row r="175" spans="1:1" ht="15">
      <c r="A175" s="11"/>
    </row>
    <row r="176" spans="1:1" ht="15">
      <c r="A176" s="11"/>
    </row>
    <row r="177" spans="1:1" ht="15">
      <c r="A177" s="11"/>
    </row>
    <row r="178" spans="1:1" ht="15">
      <c r="A178" s="11"/>
    </row>
    <row r="179" spans="1:1" ht="15">
      <c r="A179" s="11"/>
    </row>
    <row r="180" spans="1:1" ht="15">
      <c r="A180" s="11"/>
    </row>
    <row r="181" spans="1:1" ht="15">
      <c r="A181" s="11"/>
    </row>
    <row r="182" spans="1:1" ht="15">
      <c r="A182" s="11"/>
    </row>
    <row r="183" spans="1:1" ht="15">
      <c r="A183" s="11"/>
    </row>
    <row r="184" spans="1:1" ht="15">
      <c r="A184" s="11"/>
    </row>
    <row r="185" spans="1:1" ht="15">
      <c r="A185" s="11"/>
    </row>
    <row r="186" spans="1:1" ht="15">
      <c r="A186" s="11"/>
    </row>
    <row r="187" spans="1:1" ht="15">
      <c r="A187" s="11"/>
    </row>
    <row r="188" spans="1:1" ht="15">
      <c r="A188" s="11"/>
    </row>
    <row r="189" spans="1:1" ht="15">
      <c r="A189" s="11"/>
    </row>
    <row r="190" spans="1:1" ht="15">
      <c r="A190" s="11"/>
    </row>
    <row r="191" spans="1:1" ht="15">
      <c r="A191" s="11"/>
    </row>
    <row r="192" spans="1:1" ht="15">
      <c r="A192" s="11"/>
    </row>
    <row r="193" spans="1:1" ht="15">
      <c r="A193" s="11"/>
    </row>
    <row r="194" spans="1:1" ht="15">
      <c r="A194" s="11"/>
    </row>
    <row r="195" spans="1:1" ht="15">
      <c r="A195" s="11"/>
    </row>
    <row r="196" spans="1:1" ht="15">
      <c r="A196" s="11"/>
    </row>
    <row r="197" spans="1:1" ht="15">
      <c r="A197" s="11"/>
    </row>
    <row r="198" spans="1:1" ht="15">
      <c r="A198" s="11"/>
    </row>
    <row r="199" spans="1:1" ht="15">
      <c r="A199" s="11"/>
    </row>
    <row r="200" spans="1:1" ht="15">
      <c r="A200" s="11"/>
    </row>
    <row r="201" spans="1:1" ht="15">
      <c r="A201" s="11"/>
    </row>
    <row r="202" spans="1:1" ht="15">
      <c r="A202" s="11"/>
    </row>
    <row r="203" spans="1:1" ht="15">
      <c r="A203" s="11"/>
    </row>
    <row r="204" spans="1:1" ht="15">
      <c r="A204" s="11"/>
    </row>
    <row r="205" spans="1:1" ht="15">
      <c r="A205" s="11"/>
    </row>
    <row r="206" spans="1:1" ht="15">
      <c r="A206" s="11"/>
    </row>
    <row r="207" spans="1:1" ht="15">
      <c r="A207" s="11"/>
    </row>
    <row r="208" spans="1:1" ht="15">
      <c r="A208" s="11"/>
    </row>
    <row r="209" spans="1:1" ht="15">
      <c r="A209" s="11"/>
    </row>
    <row r="210" spans="1:1" ht="15">
      <c r="A210" s="11"/>
    </row>
    <row r="211" spans="1:1" ht="15">
      <c r="A211" s="11"/>
    </row>
    <row r="212" spans="1:1" ht="15">
      <c r="A212" s="11"/>
    </row>
    <row r="213" spans="1:1" ht="15">
      <c r="A213" s="11"/>
    </row>
    <row r="214" spans="1:1" ht="15">
      <c r="A214" s="11"/>
    </row>
    <row r="215" spans="1:1" ht="15">
      <c r="A215" s="11"/>
    </row>
    <row r="216" spans="1:1" ht="15">
      <c r="A216" s="11"/>
    </row>
    <row r="217" spans="1:1" ht="15">
      <c r="A217" s="11"/>
    </row>
    <row r="218" spans="1:1" ht="15">
      <c r="A218" s="11"/>
    </row>
    <row r="219" spans="1:1" ht="15">
      <c r="A219" s="11"/>
    </row>
    <row r="220" spans="1:1" ht="15">
      <c r="A220" s="11"/>
    </row>
    <row r="221" spans="1:1" ht="15">
      <c r="A221" s="11"/>
    </row>
    <row r="222" spans="1:1" ht="15">
      <c r="A222" s="11"/>
    </row>
    <row r="223" spans="1:1" ht="15">
      <c r="A223" s="11"/>
    </row>
    <row r="224" spans="1:1" ht="15">
      <c r="A224" s="11"/>
    </row>
    <row r="225" spans="1:1" ht="15">
      <c r="A225" s="11"/>
    </row>
    <row r="226" spans="1:1" ht="15">
      <c r="A226" s="11"/>
    </row>
    <row r="227" spans="1:1" ht="15">
      <c r="A227" s="11"/>
    </row>
    <row r="228" spans="1:1" ht="15">
      <c r="A228" s="11"/>
    </row>
    <row r="229" spans="1:1" ht="15">
      <c r="A229" s="11"/>
    </row>
    <row r="230" spans="1:1" ht="15">
      <c r="A230" s="11"/>
    </row>
    <row r="231" spans="1:1" ht="15">
      <c r="A231" s="11"/>
    </row>
    <row r="232" spans="1:1" ht="15">
      <c r="A232" s="11"/>
    </row>
    <row r="233" spans="1:1" ht="15">
      <c r="A233" s="11"/>
    </row>
    <row r="234" spans="1:1" ht="15">
      <c r="A234" s="11"/>
    </row>
    <row r="235" spans="1:1" ht="15">
      <c r="A235" s="11"/>
    </row>
    <row r="236" spans="1:1" ht="15">
      <c r="A236" s="11"/>
    </row>
    <row r="237" spans="1:1" ht="15">
      <c r="A237" s="11"/>
    </row>
    <row r="238" spans="1:1" ht="15">
      <c r="A238" s="11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</sheetData>
  <mergeCells count="20">
    <mergeCell ref="Z27:AA27"/>
    <mergeCell ref="C14:F14"/>
    <mergeCell ref="I14:L14"/>
    <mergeCell ref="Z14:AA14"/>
    <mergeCell ref="D17:L17"/>
    <mergeCell ref="D18:L18"/>
    <mergeCell ref="D19:L19"/>
    <mergeCell ref="D20:L20"/>
    <mergeCell ref="C22:L22"/>
    <mergeCell ref="C24:L24"/>
    <mergeCell ref="C27:F27"/>
    <mergeCell ref="I27:L27"/>
    <mergeCell ref="B1:L1"/>
    <mergeCell ref="Y1:AA1"/>
    <mergeCell ref="C8:L8"/>
    <mergeCell ref="Z8:AA8"/>
    <mergeCell ref="C11:F11"/>
    <mergeCell ref="I11:L11"/>
    <mergeCell ref="Z11:AA11"/>
    <mergeCell ref="J7:L7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Hosub Lee</cp:lastModifiedBy>
  <dcterms:created xsi:type="dcterms:W3CDTF">2020-04-23T08:19:44Z</dcterms:created>
  <dcterms:modified xsi:type="dcterms:W3CDTF">2022-06-13T23:58:16Z</dcterms:modified>
</cp:coreProperties>
</file>